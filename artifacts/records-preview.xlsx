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sak\Desktop\semester 2.2\Word Processing\11\"/>
    </mc:Choice>
  </mc:AlternateContent>
  <xr:revisionPtr revIDLastSave="0" documentId="13_ncr:1_{0DA8966F-4735-49E1-A1C3-BEBE07648B49}" xr6:coauthVersionLast="47" xr6:coauthVersionMax="47" xr10:uidLastSave="{00000000-0000-0000-0000-000000000000}"/>
  <bookViews>
    <workbookView xWindow="-98" yWindow="-98" windowWidth="28996" windowHeight="15675" activeTab="1" xr2:uid="{77698BC8-E546-45EA-8768-7A282453A6ED}"/>
  </bookViews>
  <sheets>
    <sheet name="NESTING" sheetId="7" r:id="rId1"/>
    <sheet name="Emp Qualifications" sheetId="2" r:id="rId2"/>
    <sheet name="HLOOKUP" sheetId="3" r:id="rId3"/>
    <sheet name="IF-CMPReports" sheetId="8" r:id="rId4"/>
    <sheet name="QuickAnalysis" sheetId="4" r:id="rId5"/>
    <sheet name="Goal Seek-StudentProgressReport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D6" i="9"/>
  <c r="F31" i="8"/>
  <c r="D4" i="8"/>
  <c r="D5" i="8"/>
  <c r="D6" i="8"/>
  <c r="D7" i="8"/>
  <c r="D8" i="8"/>
  <c r="D9" i="8"/>
  <c r="D7" i="9"/>
  <c r="D8" i="9"/>
  <c r="D9" i="9"/>
  <c r="D10" i="9"/>
  <c r="D12" i="9" s="1"/>
  <c r="C12" i="9"/>
  <c r="E16" i="4"/>
  <c r="F16" i="4"/>
  <c r="D16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F4" i="4"/>
  <c r="F5" i="4"/>
  <c r="F6" i="4"/>
  <c r="F7" i="4"/>
  <c r="F8" i="4"/>
  <c r="F9" i="4"/>
  <c r="F10" i="4"/>
  <c r="F11" i="4"/>
  <c r="F12" i="4"/>
  <c r="F13" i="4"/>
  <c r="F14" i="4"/>
  <c r="F15" i="4"/>
  <c r="F32" i="8"/>
  <c r="F33" i="8"/>
  <c r="F34" i="8"/>
  <c r="F35" i="8"/>
  <c r="C15" i="8"/>
  <c r="C16" i="8"/>
  <c r="C17" i="8"/>
  <c r="C18" i="8"/>
  <c r="C19" i="8"/>
  <c r="C20" i="8"/>
  <c r="C21" i="8"/>
  <c r="C22" i="8"/>
  <c r="C23" i="8"/>
  <c r="C24" i="8"/>
  <c r="C25" i="8"/>
  <c r="C26" i="8"/>
  <c r="C14" i="8"/>
  <c r="G4" i="3"/>
  <c r="G5" i="3"/>
  <c r="G6" i="3"/>
  <c r="G7" i="3"/>
  <c r="G8" i="3"/>
  <c r="G9" i="3"/>
  <c r="G10" i="3"/>
  <c r="G11" i="3"/>
  <c r="G12" i="3"/>
  <c r="G3" i="3"/>
  <c r="F4" i="3"/>
  <c r="F5" i="3"/>
  <c r="F6" i="3"/>
  <c r="F7" i="3"/>
  <c r="F8" i="3"/>
  <c r="F9" i="3"/>
  <c r="F10" i="3"/>
  <c r="F11" i="3"/>
  <c r="F12" i="3"/>
  <c r="F3" i="3"/>
  <c r="M4" i="2"/>
  <c r="L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4" i="2"/>
  <c r="E4" i="7"/>
  <c r="E5" i="7"/>
  <c r="E6" i="7"/>
  <c r="E7" i="7"/>
  <c r="E8" i="7"/>
  <c r="E3" i="7"/>
  <c r="E4" i="4"/>
  <c r="E5" i="4"/>
  <c r="E6" i="4"/>
  <c r="E7" i="4"/>
  <c r="E8" i="4"/>
  <c r="E9" i="4"/>
  <c r="E10" i="4"/>
  <c r="E11" i="4"/>
  <c r="E12" i="4"/>
  <c r="E13" i="4"/>
  <c r="E14" i="4"/>
  <c r="E15" i="4"/>
  <c r="E3" i="4"/>
  <c r="E35" i="8"/>
  <c r="E34" i="8"/>
  <c r="E33" i="8"/>
  <c r="E32" i="8"/>
  <c r="E31" i="8"/>
</calcChain>
</file>

<file path=xl/sharedStrings.xml><?xml version="1.0" encoding="utf-8"?>
<sst xmlns="http://schemas.openxmlformats.org/spreadsheetml/2006/main" count="372" uniqueCount="189">
  <si>
    <t>Name</t>
  </si>
  <si>
    <t>Employment Professionals</t>
  </si>
  <si>
    <t xml:space="preserve"> Contract Employee Qualifications</t>
  </si>
  <si>
    <t>Employee ID</t>
  </si>
  <si>
    <t>Pay Code</t>
  </si>
  <si>
    <t>Rate/Hr</t>
  </si>
  <si>
    <t>Word Level</t>
  </si>
  <si>
    <t>Excel Level</t>
  </si>
  <si>
    <t>Access Level</t>
  </si>
  <si>
    <t>Sage Accounting (Yes/No)</t>
  </si>
  <si>
    <t>Enter Employee ID</t>
  </si>
  <si>
    <t>ZI8996</t>
  </si>
  <si>
    <t>Janelle Atkins</t>
  </si>
  <si>
    <t>A</t>
  </si>
  <si>
    <t>Advanced</t>
  </si>
  <si>
    <t>Intermediate</t>
  </si>
  <si>
    <t>Yes</t>
  </si>
  <si>
    <t>AE4731</t>
  </si>
  <si>
    <t>AE4743</t>
  </si>
  <si>
    <t>Cassidy Belanger</t>
  </si>
  <si>
    <t>C</t>
  </si>
  <si>
    <t>Basic</t>
  </si>
  <si>
    <t>No</t>
  </si>
  <si>
    <t>AE4744</t>
  </si>
  <si>
    <t>Amber Boucher</t>
  </si>
  <si>
    <t>B</t>
  </si>
  <si>
    <t>AE4745</t>
  </si>
  <si>
    <t>Carly Boudreault</t>
  </si>
  <si>
    <t>PR9065</t>
  </si>
  <si>
    <t>Carol-Anne Bruno</t>
  </si>
  <si>
    <t>AE4632</t>
  </si>
  <si>
    <t>Sarah Byack</t>
  </si>
  <si>
    <t>PR9070</t>
  </si>
  <si>
    <t>Debra Caron</t>
  </si>
  <si>
    <t>AE4709</t>
  </si>
  <si>
    <t>Heidi Cary</t>
  </si>
  <si>
    <t>PR9061</t>
  </si>
  <si>
    <t>Kiera Chen</t>
  </si>
  <si>
    <t>None</t>
  </si>
  <si>
    <t>AE4682</t>
  </si>
  <si>
    <t>Gina Domenichino</t>
  </si>
  <si>
    <t>AE4712</t>
  </si>
  <si>
    <t>Bria Galvez</t>
  </si>
  <si>
    <t>AE4684</t>
  </si>
  <si>
    <t>Gabriela Gertz</t>
  </si>
  <si>
    <t>AE4717</t>
  </si>
  <si>
    <t>Celeste Jackson</t>
  </si>
  <si>
    <t>PR9063</t>
  </si>
  <si>
    <t>Violet Khatri</t>
  </si>
  <si>
    <t>AE4688</t>
  </si>
  <si>
    <t>Bella Lajoie</t>
  </si>
  <si>
    <t>AE4720</t>
  </si>
  <si>
    <t>Brad Lang</t>
  </si>
  <si>
    <t>AE4789</t>
  </si>
  <si>
    <t>Sandra Latrell</t>
  </si>
  <si>
    <t>ZI8982</t>
  </si>
  <si>
    <t>Allison Lockwood</t>
  </si>
  <si>
    <t>AE4766</t>
  </si>
  <si>
    <t>Taryn Lopez</t>
  </si>
  <si>
    <t>AE4725</t>
  </si>
  <si>
    <t>Braden Michaelson</t>
  </si>
  <si>
    <t>ZI8980</t>
  </si>
  <si>
    <t>Abbey Miller</t>
  </si>
  <si>
    <t>AE4727</t>
  </si>
  <si>
    <t>Brennan Morrison</t>
  </si>
  <si>
    <t>AE4695</t>
  </si>
  <si>
    <t>Wanda Nguyen</t>
  </si>
  <si>
    <t>AE4771</t>
  </si>
  <si>
    <t>Tina Parizeau</t>
  </si>
  <si>
    <t>AE4730</t>
  </si>
  <si>
    <t>Elizabeth Partridge</t>
  </si>
  <si>
    <t>Lanelle Packham</t>
  </si>
  <si>
    <t>ZI8984</t>
  </si>
  <si>
    <t>Ashley Phillips</t>
  </si>
  <si>
    <t>AC4584</t>
  </si>
  <si>
    <t>Jessica Sadako</t>
  </si>
  <si>
    <t>PR9058</t>
  </si>
  <si>
    <t>Sidney Santos</t>
  </si>
  <si>
    <t>PR9076</t>
  </si>
  <si>
    <t>Erin Villamarin</t>
  </si>
  <si>
    <t>AE4737</t>
  </si>
  <si>
    <t>Shandra Vessel</t>
  </si>
  <si>
    <t>AE4785</t>
  </si>
  <si>
    <t>Tracy Zuniga</t>
  </si>
  <si>
    <t>Math by David Jones
Student Progress Report</t>
  </si>
  <si>
    <t>Student Name</t>
  </si>
  <si>
    <t>Test 1</t>
  </si>
  <si>
    <t>Test 2</t>
  </si>
  <si>
    <t>Test 3</t>
  </si>
  <si>
    <t>Test 4</t>
  </si>
  <si>
    <t>Average</t>
  </si>
  <si>
    <t>Grade</t>
  </si>
  <si>
    <t>Score</t>
  </si>
  <si>
    <t>Dana Woods</t>
  </si>
  <si>
    <t>F</t>
  </si>
  <si>
    <t>D</t>
  </si>
  <si>
    <t>A+</t>
  </si>
  <si>
    <t>Kelsey Williams</t>
  </si>
  <si>
    <t>Hilary Orbet</t>
  </si>
  <si>
    <t>Jose Alvarez</t>
  </si>
  <si>
    <t>Susie Chan</t>
  </si>
  <si>
    <t>Linden Porter</t>
  </si>
  <si>
    <t>Carl Quinn</t>
  </si>
  <si>
    <t>Andrea Desmond</t>
  </si>
  <si>
    <t>Kylie Winers</t>
  </si>
  <si>
    <t>Lindsay Cortez</t>
  </si>
  <si>
    <t>Invoice #</t>
  </si>
  <si>
    <t>Client #</t>
  </si>
  <si>
    <t>Service</t>
  </si>
  <si>
    <t>Amount</t>
  </si>
  <si>
    <t>Tax</t>
  </si>
  <si>
    <t>Amount Due</t>
  </si>
  <si>
    <t>03-392</t>
  </si>
  <si>
    <t>Family Portraits</t>
  </si>
  <si>
    <t>02-498</t>
  </si>
  <si>
    <t>Wedding Portraits</t>
  </si>
  <si>
    <t>11-279</t>
  </si>
  <si>
    <t>Development</t>
  </si>
  <si>
    <t>04-325</t>
  </si>
  <si>
    <t>Sports Portraits</t>
  </si>
  <si>
    <t>Senior Portraits</t>
  </si>
  <si>
    <t>11-325</t>
  </si>
  <si>
    <t>05-665</t>
  </si>
  <si>
    <t>55-340</t>
  </si>
  <si>
    <t>Bonus</t>
  </si>
  <si>
    <t>Employee Training</t>
  </si>
  <si>
    <t>Plumbing</t>
  </si>
  <si>
    <t>Electrical</t>
  </si>
  <si>
    <t>Carpentry</t>
  </si>
  <si>
    <t>Allesandro</t>
  </si>
  <si>
    <t>Ellington</t>
  </si>
  <si>
    <t>Goodman</t>
  </si>
  <si>
    <t>Huntington</t>
  </si>
  <si>
    <t>Kaplan-Downing</t>
  </si>
  <si>
    <t>Larimore</t>
  </si>
  <si>
    <t>Training Averages</t>
  </si>
  <si>
    <t>Capstan Marine Products</t>
  </si>
  <si>
    <t>Sales Department</t>
  </si>
  <si>
    <t>Salesperson</t>
  </si>
  <si>
    <t>Quota</t>
  </si>
  <si>
    <t>Actual Sales</t>
  </si>
  <si>
    <t>Allejandro</t>
  </si>
  <si>
    <t>Crispin</t>
  </si>
  <si>
    <t>Frankel</t>
  </si>
  <si>
    <t>Hiesmann</t>
  </si>
  <si>
    <t>Jarvis</t>
  </si>
  <si>
    <t>Littleman</t>
  </si>
  <si>
    <t>Product #</t>
  </si>
  <si>
    <t>Price</t>
  </si>
  <si>
    <t>C-2340</t>
  </si>
  <si>
    <t>C-3215</t>
  </si>
  <si>
    <t>C-4390</t>
  </si>
  <si>
    <t>E-2306</t>
  </si>
  <si>
    <t>E-3420</t>
  </si>
  <si>
    <t>G-2312</t>
  </si>
  <si>
    <t>G-4393</t>
  </si>
  <si>
    <t>J-1203</t>
  </si>
  <si>
    <t>J-3288</t>
  </si>
  <si>
    <t>J-4594</t>
  </si>
  <si>
    <t>M-2355</t>
  </si>
  <si>
    <t>M-3129</t>
  </si>
  <si>
    <t>M-4392</t>
  </si>
  <si>
    <t>New Employee Orientation</t>
  </si>
  <si>
    <t>Quiz 1</t>
  </si>
  <si>
    <t>Quiz 2</t>
  </si>
  <si>
    <t>Quiz 3</t>
  </si>
  <si>
    <t>Angelo</t>
  </si>
  <si>
    <t>Cunningham</t>
  </si>
  <si>
    <t>Elliot</t>
  </si>
  <si>
    <t>Kennedy</t>
  </si>
  <si>
    <t>Lipscomb</t>
  </si>
  <si>
    <t>Math by Janelle Tutoring Service</t>
  </si>
  <si>
    <t>Student Assessment Report</t>
  </si>
  <si>
    <t>Whitney Orlowicz</t>
  </si>
  <si>
    <t>Assessments</t>
  </si>
  <si>
    <t>Assignment 1</t>
  </si>
  <si>
    <t>Assignment 2</t>
  </si>
  <si>
    <t>Assignment 3</t>
  </si>
  <si>
    <t>Midterm test</t>
  </si>
  <si>
    <t>Final test</t>
  </si>
  <si>
    <t>Weeks Vacation</t>
  </si>
  <si>
    <t>After Discount</t>
  </si>
  <si>
    <t>Pass</t>
  </si>
  <si>
    <t>March Invoices</t>
  </si>
  <si>
    <t>Cumulative Total</t>
  </si>
  <si>
    <t>Final Grade</t>
  </si>
  <si>
    <t xml:space="preserve">Out of </t>
  </si>
  <si>
    <t>Weight</t>
  </si>
  <si>
    <t>Weighted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</si>
</sst>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%"/>
    <numFmt numFmtId="166" formatCode="0.0"/>
    <numFmt numFmtId="167" formatCode="_(&quot;$&quot;* #,##0_);_(&quot;$&quot;* \(#,##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Arial Black"/>
      <family val="2"/>
    </font>
    <font>
      <sz val="11"/>
      <color theme="0"/>
      <name val="Arial Black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8"/>
      <color theme="3"/>
      <name val="Calibri"/>
      <family val="2"/>
      <scheme val="minor"/>
    </font>
    <font>
      <b/>
      <sz val="18"/>
      <color theme="3"/>
      <name val="Calibri"/>
      <family val="2"/>
      <scheme val="major"/>
    </font>
    <font>
      <b/>
      <sz val="12"/>
      <color rgb="FFA20000"/>
      <name val="Candara"/>
      <family val="2"/>
    </font>
    <font>
      <b/>
      <sz val="10"/>
      <color rgb="FFA20000"/>
      <name val="Candara"/>
      <family val="2"/>
    </font>
    <font>
      <sz val="10"/>
      <color rgb="FF000000"/>
      <name val="Calibri"/>
      <family val="2"/>
    </font>
    <font>
      <b/>
      <sz val="26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DDE9F7"/>
        <bgColor indexed="64"/>
      </patternFill>
    </fill>
    <fill>
      <patternFill patternType="solid">
        <fgColor rgb="FFDDE9F7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rgb="FFA20000"/>
      </top>
      <bottom style="medium">
        <color rgb="FFA20000"/>
      </bottom>
      <diagonal/>
    </border>
    <border>
      <left/>
      <right/>
      <top style="medium">
        <color rgb="FFA20000"/>
      </top>
      <bottom style="thin">
        <color rgb="FFA20000"/>
      </bottom>
      <diagonal/>
    </border>
    <border>
      <left/>
      <right/>
      <top style="thin">
        <color rgb="FFA20000"/>
      </top>
      <bottom/>
      <diagonal/>
    </border>
    <border>
      <left/>
      <right/>
      <top style="medium">
        <color indexed="18"/>
      </top>
      <bottom style="medium">
        <color indexed="18"/>
      </bottom>
      <diagonal/>
    </border>
    <border>
      <left/>
      <right/>
      <top style="medium">
        <color indexed="18"/>
      </top>
      <bottom style="medium">
        <color theme="3"/>
      </bottom>
      <diagonal/>
    </border>
    <border>
      <left/>
      <right/>
      <top/>
      <bottom style="medium">
        <color indexed="1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auto="1"/>
      </right>
      <top style="thin">
        <color auto="1"/>
      </top>
      <bottom style="medium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-0.499984740745262"/>
      </bottom>
      <diagonal/>
    </border>
    <border>
      <left style="thin">
        <color auto="1"/>
      </left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2" xfId="0" applyBorder="1"/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164" fontId="0" fillId="0" borderId="2" xfId="1" applyNumberFormat="1" applyFont="1" applyBorder="1"/>
    <xf numFmtId="0" fontId="7" fillId="0" borderId="2" xfId="0" applyFont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8" xfId="0" applyFont="1" applyBorder="1"/>
    <xf numFmtId="0" fontId="3" fillId="0" borderId="2" xfId="0" applyFont="1" applyBorder="1"/>
    <xf numFmtId="0" fontId="3" fillId="0" borderId="9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3" fillId="0" borderId="10" xfId="0" applyFon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44" fontId="0" fillId="0" borderId="0" xfId="0" applyNumberFormat="1"/>
    <xf numFmtId="43" fontId="0" fillId="0" borderId="0" xfId="5" applyFont="1"/>
    <xf numFmtId="0" fontId="11" fillId="8" borderId="17" xfId="0" applyFont="1" applyFill="1" applyBorder="1" applyAlignment="1">
      <alignment horizontal="center"/>
    </xf>
    <xf numFmtId="0" fontId="11" fillId="8" borderId="17" xfId="0" applyFont="1" applyFill="1" applyBorder="1" applyAlignment="1">
      <alignment horizontal="center" wrapText="1"/>
    </xf>
    <xf numFmtId="0" fontId="12" fillId="0" borderId="0" xfId="0" applyFont="1"/>
    <xf numFmtId="0" fontId="12" fillId="7" borderId="18" xfId="0" applyFont="1" applyFill="1" applyBorder="1"/>
    <xf numFmtId="165" fontId="12" fillId="0" borderId="0" xfId="0" applyNumberFormat="1" applyFont="1" applyAlignment="1">
      <alignment horizontal="center"/>
    </xf>
    <xf numFmtId="165" fontId="12" fillId="0" borderId="0" xfId="2" applyNumberFormat="1" applyFont="1" applyFill="1" applyBorder="1" applyAlignment="1">
      <alignment horizontal="center"/>
    </xf>
    <xf numFmtId="165" fontId="12" fillId="7" borderId="18" xfId="0" applyNumberFormat="1" applyFont="1" applyFill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20" xfId="0" applyFont="1" applyBorder="1"/>
    <xf numFmtId="44" fontId="0" fillId="0" borderId="0" xfId="1" applyFont="1" applyBorder="1"/>
    <xf numFmtId="43" fontId="0" fillId="0" borderId="0" xfId="5" applyFont="1" applyBorder="1" applyAlignment="1">
      <alignment horizontal="center"/>
    </xf>
    <xf numFmtId="0" fontId="15" fillId="0" borderId="20" xfId="0" applyFont="1" applyBorder="1" applyAlignment="1">
      <alignment horizontal="center" wrapText="1"/>
    </xf>
    <xf numFmtId="43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43" fontId="0" fillId="0" borderId="0" xfId="0" applyNumberFormat="1"/>
    <xf numFmtId="1" fontId="0" fillId="0" borderId="0" xfId="0" applyNumberFormat="1" applyAlignment="1">
      <alignment horizontal="center"/>
    </xf>
    <xf numFmtId="0" fontId="18" fillId="12" borderId="2" xfId="0" applyFont="1" applyFill="1" applyBorder="1" applyAlignment="1">
      <alignment horizontal="left"/>
    </xf>
    <xf numFmtId="0" fontId="18" fillId="12" borderId="2" xfId="0" applyFont="1" applyFill="1" applyBorder="1" applyAlignment="1">
      <alignment horizontal="right"/>
    </xf>
    <xf numFmtId="0" fontId="19" fillId="0" borderId="2" xfId="0" applyFont="1" applyBorder="1"/>
    <xf numFmtId="166" fontId="19" fillId="0" borderId="2" xfId="0" applyNumberFormat="1" applyFont="1" applyBorder="1"/>
    <xf numFmtId="0" fontId="0" fillId="15" borderId="28" xfId="0" applyFill="1" applyBorder="1" applyAlignment="1">
      <alignment horizontal="left"/>
    </xf>
    <xf numFmtId="0" fontId="0" fillId="15" borderId="25" xfId="0" applyFill="1" applyBorder="1" applyAlignment="1">
      <alignment horizontal="left"/>
    </xf>
    <xf numFmtId="0" fontId="0" fillId="15" borderId="25" xfId="1" applyNumberFormat="1" applyFont="1" applyFill="1" applyBorder="1"/>
    <xf numFmtId="167" fontId="0" fillId="15" borderId="25" xfId="1" applyNumberFormat="1" applyFont="1" applyFill="1" applyBorder="1" applyAlignment="1">
      <alignment horizontal="right"/>
    </xf>
    <xf numFmtId="44" fontId="0" fillId="15" borderId="25" xfId="1" applyFont="1" applyFill="1" applyBorder="1" applyAlignment="1">
      <alignment horizontal="center"/>
    </xf>
    <xf numFmtId="44" fontId="0" fillId="15" borderId="25" xfId="1" applyFont="1" applyFill="1" applyBorder="1" applyAlignment="1">
      <alignment horizontal="right"/>
    </xf>
    <xf numFmtId="0" fontId="0" fillId="14" borderId="28" xfId="0" applyFill="1" applyBorder="1" applyAlignment="1">
      <alignment horizontal="left"/>
    </xf>
    <xf numFmtId="0" fontId="0" fillId="14" borderId="25" xfId="0" applyFill="1" applyBorder="1" applyAlignment="1">
      <alignment horizontal="left"/>
    </xf>
    <xf numFmtId="0" fontId="0" fillId="14" borderId="25" xfId="1" applyNumberFormat="1" applyFont="1" applyFill="1" applyBorder="1"/>
    <xf numFmtId="43" fontId="0" fillId="14" borderId="25" xfId="6" applyFont="1" applyFill="1" applyBorder="1" applyAlignment="1">
      <alignment horizontal="right"/>
    </xf>
    <xf numFmtId="43" fontId="0" fillId="14" borderId="25" xfId="6" applyFont="1" applyFill="1" applyBorder="1" applyAlignment="1">
      <alignment horizontal="center"/>
    </xf>
    <xf numFmtId="43" fontId="0" fillId="15" borderId="25" xfId="6" applyFont="1" applyFill="1" applyBorder="1" applyAlignment="1">
      <alignment horizontal="right"/>
    </xf>
    <xf numFmtId="43" fontId="0" fillId="15" borderId="25" xfId="6" applyFont="1" applyFill="1" applyBorder="1" applyAlignment="1">
      <alignment horizontal="center"/>
    </xf>
    <xf numFmtId="0" fontId="21" fillId="14" borderId="26" xfId="0" applyFont="1" applyFill="1" applyBorder="1" applyAlignment="1">
      <alignment horizontal="center" vertical="center" wrapText="1"/>
    </xf>
    <xf numFmtId="0" fontId="21" fillId="14" borderId="27" xfId="0" applyFont="1" applyFill="1" applyBorder="1" applyAlignment="1">
      <alignment horizontal="center" vertical="center" wrapText="1"/>
    </xf>
    <xf numFmtId="0" fontId="21" fillId="14" borderId="27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/>
    </xf>
    <xf numFmtId="0" fontId="17" fillId="12" borderId="2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7" fillId="10" borderId="32" xfId="0" applyFont="1" applyFill="1" applyBorder="1" applyAlignment="1">
      <alignment horizontal="center" vertical="center" wrapText="1"/>
    </xf>
    <xf numFmtId="44" fontId="0" fillId="10" borderId="33" xfId="1" applyFont="1" applyFill="1" applyBorder="1"/>
    <xf numFmtId="44" fontId="0" fillId="10" borderId="34" xfId="1" applyFont="1" applyFill="1" applyBorder="1"/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0" fillId="0" borderId="9" xfId="0" applyBorder="1" applyAlignment="1">
      <alignment horizontal="right"/>
    </xf>
    <xf numFmtId="44" fontId="3" fillId="0" borderId="0" xfId="0" applyNumberFormat="1" applyFont="1"/>
    <xf numFmtId="43" fontId="0" fillId="14" borderId="25" xfId="6" applyFont="1" applyFill="1" applyBorder="1"/>
    <xf numFmtId="43" fontId="0" fillId="15" borderId="25" xfId="6" applyFont="1" applyFill="1" applyBorder="1"/>
    <xf numFmtId="44" fontId="3" fillId="15" borderId="25" xfId="1" applyFont="1" applyFill="1" applyBorder="1" applyAlignment="1">
      <alignment horizontal="right"/>
    </xf>
    <xf numFmtId="44" fontId="3" fillId="14" borderId="25" xfId="0" applyNumberFormat="1" applyFont="1" applyFill="1" applyBorder="1" applyAlignment="1">
      <alignment horizontal="right"/>
    </xf>
    <xf numFmtId="44" fontId="3" fillId="15" borderId="25" xfId="0" applyNumberFormat="1" applyFont="1" applyFill="1" applyBorder="1" applyAlignment="1">
      <alignment horizontal="right"/>
    </xf>
    <xf numFmtId="44" fontId="3" fillId="14" borderId="25" xfId="0" applyNumberFormat="1" applyFont="1" applyFill="1" applyBorder="1"/>
    <xf numFmtId="44" fontId="3" fillId="15" borderId="25" xfId="0" applyNumberFormat="1" applyFont="1" applyFill="1" applyBorder="1"/>
    <xf numFmtId="167" fontId="3" fillId="0" borderId="0" xfId="0" applyNumberFormat="1" applyFont="1"/>
    <xf numFmtId="0" fontId="16" fillId="11" borderId="24" xfId="0" applyFont="1" applyFill="1" applyBorder="1" applyAlignment="1">
      <alignment horizontal="center"/>
    </xf>
    <xf numFmtId="0" fontId="16" fillId="11" borderId="0" xfId="0" applyFont="1" applyFill="1" applyAlignment="1">
      <alignment horizontal="center"/>
    </xf>
    <xf numFmtId="0" fontId="17" fillId="11" borderId="24" xfId="0" applyFont="1" applyFill="1" applyBorder="1" applyAlignment="1">
      <alignment horizontal="center"/>
    </xf>
    <xf numFmtId="0" fontId="17" fillId="11" borderId="0" xfId="0" applyFont="1" applyFill="1" applyAlignment="1">
      <alignment horizontal="center"/>
    </xf>
    <xf numFmtId="0" fontId="10" fillId="7" borderId="1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8" fillId="6" borderId="13" xfId="3" applyFont="1" applyFill="1" applyBorder="1" applyAlignment="1">
      <alignment horizontal="center" vertical="center" wrapText="1"/>
    </xf>
    <xf numFmtId="0" fontId="8" fillId="6" borderId="14" xfId="3" applyFont="1" applyFill="1" applyBorder="1" applyAlignment="1">
      <alignment horizontal="center" vertical="center" wrapText="1"/>
    </xf>
    <xf numFmtId="0" fontId="8" fillId="6" borderId="15" xfId="3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/>
    </xf>
    <xf numFmtId="0" fontId="14" fillId="10" borderId="19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" vertical="center" wrapText="1"/>
    </xf>
  </cellXfs>
  <cellStyles count="7">
    <cellStyle name="Comma" xfId="6" builtinId="3"/>
    <cellStyle name="Comma 2" xfId="5" xr:uid="{DDA9A02D-22FC-477D-B933-A82BFA3EF709}"/>
    <cellStyle name="Currency" xfId="1" builtinId="4"/>
    <cellStyle name="Heading 1" xfId="3" builtinId="16"/>
    <cellStyle name="Normal" xfId="0" builtinId="0"/>
    <cellStyle name="Percent" xfId="2" builtinId="5"/>
    <cellStyle name="Title 2" xfId="4" xr:uid="{1DB97FC8-868D-4D81-83C8-8D18ABDDAD7F}"/>
  </cellStyles>
  <dxfs count="2"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0</xdr:row>
      <xdr:rowOff>95250</xdr:rowOff>
    </xdr:from>
    <xdr:to>
      <xdr:col>10</xdr:col>
      <xdr:colOff>171450</xdr:colOff>
      <xdr:row>10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D001C42-48E0-49A6-A102-4995628623CD}"/>
            </a:ext>
          </a:extLst>
        </xdr:cNvPr>
        <xdr:cNvSpPr/>
      </xdr:nvSpPr>
      <xdr:spPr>
        <a:xfrm>
          <a:off x="3743325" y="95250"/>
          <a:ext cx="2876550" cy="20097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200">
              <a:latin typeface="Arial" panose="020B0604020202020204" pitchFamily="34" charset="0"/>
              <a:cs typeface="Arial" panose="020B0604020202020204" pitchFamily="34" charset="0"/>
            </a:rPr>
            <a:t>Beginning in cell E3,</a:t>
          </a:r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 use nested functions to calculate the average for each employee.  </a:t>
          </a:r>
        </a:p>
        <a:p>
          <a:pPr algn="l"/>
          <a:endParaRPr lang="en-CA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Use Round to round up to the highest tens (80, 90 etc.</a:t>
          </a:r>
        </a:p>
        <a:p>
          <a:pPr algn="l"/>
          <a:endParaRPr lang="en-CA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Copy the formula to the remaining cells in the column.</a:t>
          </a:r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2</xdr:row>
      <xdr:rowOff>0</xdr:rowOff>
    </xdr:from>
    <xdr:to>
      <xdr:col>18</xdr:col>
      <xdr:colOff>428625</xdr:colOff>
      <xdr:row>26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17BF03-42DD-4851-975C-0511A22691B0}"/>
            </a:ext>
          </a:extLst>
        </xdr:cNvPr>
        <xdr:cNvSpPr/>
      </xdr:nvSpPr>
      <xdr:spPr>
        <a:xfrm>
          <a:off x="11401425" y="523875"/>
          <a:ext cx="2876550" cy="5210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200">
              <a:latin typeface="Arial" panose="020B0604020202020204" pitchFamily="34" charset="0"/>
              <a:cs typeface="Arial" panose="020B0604020202020204" pitchFamily="34" charset="0"/>
            </a:rPr>
            <a:t>1. Beginning in cell D4, create</a:t>
          </a:r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 a VLookup to determine what each employee's Rate/Hr is based on the pay  rate scale(K9:M11) using their pay code in column C.</a:t>
          </a:r>
        </a:p>
        <a:p>
          <a:pPr algn="l"/>
          <a:endParaRPr lang="en-CA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CA" sz="1200">
              <a:latin typeface="Arial" panose="020B0604020202020204" pitchFamily="34" charset="0"/>
              <a:cs typeface="Arial" panose="020B0604020202020204" pitchFamily="34" charset="0"/>
            </a:rPr>
            <a:t>2. Beginning in cell I4, create a VLookup to determine what each employee's Weeks</a:t>
          </a:r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 Vacation </a:t>
          </a:r>
          <a:r>
            <a:rPr lang="en-CA" sz="1200">
              <a:latin typeface="Arial" panose="020B0604020202020204" pitchFamily="34" charset="0"/>
              <a:cs typeface="Arial" panose="020B0604020202020204" pitchFamily="34" charset="0"/>
            </a:rPr>
            <a:t>is based on the pay  rate scale(K9:M11) using their pay code in column C.</a:t>
          </a:r>
        </a:p>
        <a:p>
          <a:pPr algn="l"/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CA" sz="1200">
              <a:latin typeface="Arial" panose="020B0604020202020204" pitchFamily="34" charset="0"/>
              <a:cs typeface="Arial" panose="020B0604020202020204" pitchFamily="34" charset="0"/>
            </a:rPr>
            <a:t>3.  In Cell</a:t>
          </a:r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 L4, use VLookup to determine whatever employee ID entered in cell K4's name is.  Copy the formula to M4 and adjust so it returns the Rate/Hr.</a:t>
          </a:r>
        </a:p>
        <a:p>
          <a:pPr algn="l"/>
          <a:endParaRPr lang="en-CA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4. Format cells K4:M4 with a Green, Accent 1, Lighter 80% fill colour.</a:t>
          </a:r>
        </a:p>
        <a:p>
          <a:pPr algn="l"/>
          <a:endParaRPr lang="en-CA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5. Select J</a:t>
          </a:r>
        </a:p>
        <a:p>
          <a:pPr algn="l"/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K3:M4, and apply a Medium thick line style, Green Accent 1, Darker 50% line colour to the outside border.</a:t>
          </a:r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</xdr:rowOff>
    </xdr:from>
    <xdr:to>
      <xdr:col>13</xdr:col>
      <xdr:colOff>438150</xdr:colOff>
      <xdr:row>16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5C3BDF3-FB5C-467E-B456-6CD306D00C45}"/>
            </a:ext>
          </a:extLst>
        </xdr:cNvPr>
        <xdr:cNvSpPr/>
      </xdr:nvSpPr>
      <xdr:spPr>
        <a:xfrm>
          <a:off x="5905500" y="1685926"/>
          <a:ext cx="2876550" cy="24098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200">
              <a:latin typeface="Arial" panose="020B0604020202020204" pitchFamily="34" charset="0"/>
              <a:cs typeface="Arial" panose="020B0604020202020204" pitchFamily="34" charset="0"/>
            </a:rPr>
            <a:t>1. Beginning in cell F3,</a:t>
          </a:r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 determine the average for each student.  Copy the formula to the remaining cells.  Decrease the decimal places to 0.</a:t>
          </a:r>
        </a:p>
        <a:p>
          <a:pPr algn="l"/>
          <a:endParaRPr lang="en-CA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2. Beginning in cell G3, use HLookup to determine which letter grade the student will receive.  Copy the formula to the remaining cells.</a:t>
          </a:r>
        </a:p>
        <a:p>
          <a:pPr algn="l"/>
          <a:endParaRPr lang="en-CA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3. Align right the data in Column G.</a:t>
          </a:r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3</xdr:row>
      <xdr:rowOff>0</xdr:rowOff>
    </xdr:from>
    <xdr:to>
      <xdr:col>6</xdr:col>
      <xdr:colOff>1676400</xdr:colOff>
      <xdr:row>8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B1B21A-60EB-4056-9BA6-5F915C9CE524}"/>
            </a:ext>
          </a:extLst>
        </xdr:cNvPr>
        <xdr:cNvSpPr/>
      </xdr:nvSpPr>
      <xdr:spPr>
        <a:xfrm>
          <a:off x="4029075" y="847725"/>
          <a:ext cx="2876550" cy="9906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200">
              <a:latin typeface="Arial" panose="020B0604020202020204" pitchFamily="34" charset="0"/>
              <a:cs typeface="Arial" panose="020B0604020202020204" pitchFamily="34" charset="0"/>
            </a:rPr>
            <a:t>1. If the salesperson sold more than their quota,</a:t>
          </a:r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 give them a  15% bonus based on their actual sales.  If it's not higher, they get 0 bonus.</a:t>
          </a:r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304800</xdr:colOff>
      <xdr:row>13</xdr:row>
      <xdr:rowOff>180975</xdr:rowOff>
    </xdr:from>
    <xdr:to>
      <xdr:col>6</xdr:col>
      <xdr:colOff>1609725</xdr:colOff>
      <xdr:row>19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848A962-3BB9-4D75-A06F-43466B1A52AF}"/>
            </a:ext>
          </a:extLst>
        </xdr:cNvPr>
        <xdr:cNvSpPr/>
      </xdr:nvSpPr>
      <xdr:spPr>
        <a:xfrm>
          <a:off x="3962400" y="3162300"/>
          <a:ext cx="2876550" cy="1114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CA" sz="1200">
              <a:latin typeface="Arial" panose="020B0604020202020204" pitchFamily="34" charset="0"/>
              <a:cs typeface="Arial" panose="020B0604020202020204" pitchFamily="34" charset="0"/>
            </a:rPr>
            <a:t>2. Calculate what the new price will be if a product costs more than $599, they are entitled to a 5% discount.  If it is not more than $599,</a:t>
          </a:r>
          <a:r>
            <a:rPr lang="en-CA" sz="1200" baseline="0">
              <a:latin typeface="Arial" panose="020B0604020202020204" pitchFamily="34" charset="0"/>
              <a:cs typeface="Arial" panose="020B0604020202020204" pitchFamily="34" charset="0"/>
            </a:rPr>
            <a:t> then they pay the list price.</a:t>
          </a:r>
          <a:endParaRPr lang="en-US" sz="11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152399</xdr:colOff>
      <xdr:row>28</xdr:row>
      <xdr:rowOff>9525</xdr:rowOff>
    </xdr:from>
    <xdr:to>
      <xdr:col>6</xdr:col>
      <xdr:colOff>3190874</xdr:colOff>
      <xdr:row>45</xdr:row>
      <xdr:rowOff>28575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AFB0382-6147-46C4-AD39-63B3CC612B16}"/>
            </a:ext>
          </a:extLst>
        </xdr:cNvPr>
        <xdr:cNvSpPr/>
      </xdr:nvSpPr>
      <xdr:spPr>
        <a:xfrm>
          <a:off x="5381624" y="5857875"/>
          <a:ext cx="3038475" cy="32861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3. If an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employee scores higher than 80, they are eligible for a promotion.  If they are eligible, the function should return "Promote", if they are not eligible it should return a blank cell.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4. Use Green Data Bars (Conditional formatting)  on the range E31:E35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5. Using Conditional Formatting, the top 2 Quiz 1 scorers should be highlighted with Green Fill and dark green text.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6. Using Conditional Formatting, the bottom 2 Quiz 1 scorers should be highlighted with a Red Border.</a:t>
          </a:r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1</xdr:row>
      <xdr:rowOff>295274</xdr:rowOff>
    </xdr:from>
    <xdr:to>
      <xdr:col>14</xdr:col>
      <xdr:colOff>190500</xdr:colOff>
      <xdr:row>20</xdr:row>
      <xdr:rowOff>28574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2A993B-0726-4E7A-AF88-B4000AC70D1C}"/>
            </a:ext>
          </a:extLst>
        </xdr:cNvPr>
        <xdr:cNvSpPr/>
      </xdr:nvSpPr>
      <xdr:spPr>
        <a:xfrm>
          <a:off x="7410450" y="676274"/>
          <a:ext cx="3038475" cy="35718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1. Use autofill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to copy the formatting from the range F3:F15 to G3:G13.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2. Use autofill, to continue the invoice numbers in Column A.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3. </a:t>
          </a:r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Use a formula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without a function to calculate the Amount Due for each invoice.  Use fill without formatting to copy the formula to the remaining cells.  Apply currency formatting to cells F4:F15.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4. Use the cumulutive quick analysis tool to calculate the running total of all invoices so that it appears in Column G.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5. Use the quick analysis tool to calculate the totals for Amount, Tax, and Amount Due.</a:t>
          </a:r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85724</xdr:rowOff>
    </xdr:from>
    <xdr:to>
      <xdr:col>10</xdr:col>
      <xdr:colOff>247650</xdr:colOff>
      <xdr:row>19</xdr:row>
      <xdr:rowOff>123825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923F96C-5FDA-4825-B0E1-3567D92EB613}"/>
            </a:ext>
          </a:extLst>
        </xdr:cNvPr>
        <xdr:cNvSpPr/>
      </xdr:nvSpPr>
      <xdr:spPr>
        <a:xfrm>
          <a:off x="5362575" y="85724"/>
          <a:ext cx="3171825" cy="441960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>
              <a:latin typeface="Arial" panose="020B0604020202020204" pitchFamily="34" charset="0"/>
              <a:cs typeface="Arial" panose="020B0604020202020204" pitchFamily="34" charset="0"/>
            </a:rPr>
            <a:t>Janelle</a:t>
          </a:r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 is trying to determine how much Whitney need to score on the final test to achieve a grade of at least 75.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1. In cell C12, use a function to calculate how much all the assignments are worth. (It should equal 100)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2. In cell D5, use a formula without a function to convert the grade they received out of 100 to the weighted grade using an absolute reference to cell B5.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3. Use a function in Cell D12 to determine the overall Weighted Grade.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4. Use the trial and error method in Cell B10 to determine what score Whitby needs in order to have a final grade of 75.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aseline="0">
              <a:latin typeface="Arial" panose="020B0604020202020204" pitchFamily="34" charset="0"/>
              <a:cs typeface="Arial" panose="020B0604020202020204" pitchFamily="34" charset="0"/>
            </a:rPr>
            <a:t>5. Now, use Goal Seek to determine what score Whitney needs to have a final grade of 75.</a:t>
          </a: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US" sz="12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n-CA" sz="12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Nadin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AB79-657C-4F59-8C0A-44EECA137ECE}">
  <dimension ref="A1:E9"/>
  <sheetViews>
    <sheetView workbookViewId="0">
      <selection activeCell="K22" sqref="K22"/>
    </sheetView>
  </sheetViews>
  <sheetFormatPr defaultRowHeight="14.25" x14ac:dyDescent="0.45"/>
  <cols>
    <col min="1" max="1" width="14.3984375" customWidth="1"/>
  </cols>
  <sheetData>
    <row r="1" spans="1:5" ht="16.149999999999999" thickBot="1" x14ac:dyDescent="0.55000000000000004">
      <c r="A1" s="90" t="s">
        <v>125</v>
      </c>
      <c r="B1" s="90"/>
      <c r="C1" s="90"/>
      <c r="D1" s="90"/>
      <c r="E1" s="90"/>
    </row>
    <row r="2" spans="1:5" x14ac:dyDescent="0.45">
      <c r="A2" s="28" t="s">
        <v>0</v>
      </c>
      <c r="B2" s="28" t="s">
        <v>126</v>
      </c>
      <c r="C2" s="28" t="s">
        <v>127</v>
      </c>
      <c r="D2" s="28" t="s">
        <v>128</v>
      </c>
      <c r="E2" s="29" t="s">
        <v>90</v>
      </c>
    </row>
    <row r="3" spans="1:5" x14ac:dyDescent="0.45">
      <c r="A3" s="30" t="s">
        <v>129</v>
      </c>
      <c r="B3" s="32">
        <v>0.76400000000000001</v>
      </c>
      <c r="C3" s="32">
        <v>0.80200000000000005</v>
      </c>
      <c r="D3" s="32">
        <v>0.84</v>
      </c>
      <c r="E3" s="33">
        <f>ROUND(AVERAGE(B3:D3),1)</f>
        <v>0.8</v>
      </c>
    </row>
    <row r="4" spans="1:5" x14ac:dyDescent="0.45">
      <c r="A4" s="30" t="s">
        <v>130</v>
      </c>
      <c r="B4" s="32">
        <v>0.66200000000000003</v>
      </c>
      <c r="C4" s="32">
        <v>0.72399999999999998</v>
      </c>
      <c r="D4" s="32">
        <v>0.64</v>
      </c>
      <c r="E4" s="33">
        <f t="shared" ref="E4:E8" si="0">ROUND(AVERAGE(B4:D4),1)</f>
        <v>0.7</v>
      </c>
    </row>
    <row r="5" spans="1:5" x14ac:dyDescent="0.45">
      <c r="A5" s="30" t="s">
        <v>131</v>
      </c>
      <c r="B5" s="32">
        <v>0.9</v>
      </c>
      <c r="C5" s="32">
        <v>0.88600000000000001</v>
      </c>
      <c r="D5" s="32">
        <v>0.94</v>
      </c>
      <c r="E5" s="33">
        <f t="shared" si="0"/>
        <v>0.9</v>
      </c>
    </row>
    <row r="6" spans="1:5" x14ac:dyDescent="0.45">
      <c r="A6" s="30" t="s">
        <v>132</v>
      </c>
      <c r="B6" s="32">
        <v>0.76300000000000001</v>
      </c>
      <c r="C6" s="32">
        <v>0.82799999999999996</v>
      </c>
      <c r="D6" s="32">
        <v>0.88</v>
      </c>
      <c r="E6" s="33">
        <f t="shared" si="0"/>
        <v>0.8</v>
      </c>
    </row>
    <row r="7" spans="1:5" x14ac:dyDescent="0.45">
      <c r="A7" s="30" t="s">
        <v>133</v>
      </c>
      <c r="B7" s="32">
        <v>0.90800000000000003</v>
      </c>
      <c r="C7" s="32">
        <v>0.84</v>
      </c>
      <c r="D7" s="32">
        <v>0.92</v>
      </c>
      <c r="E7" s="33">
        <f t="shared" si="0"/>
        <v>0.9</v>
      </c>
    </row>
    <row r="8" spans="1:5" x14ac:dyDescent="0.45">
      <c r="A8" s="30" t="s">
        <v>134</v>
      </c>
      <c r="B8" s="32">
        <v>0.58699999999999997</v>
      </c>
      <c r="C8" s="32">
        <v>0.621</v>
      </c>
      <c r="D8" s="32">
        <v>0.6</v>
      </c>
      <c r="E8" s="33">
        <f t="shared" si="0"/>
        <v>0.6</v>
      </c>
    </row>
    <row r="9" spans="1:5" x14ac:dyDescent="0.45">
      <c r="A9" s="31" t="s">
        <v>135</v>
      </c>
      <c r="B9" s="34"/>
      <c r="C9" s="34"/>
      <c r="D9" s="34"/>
      <c r="E9" s="34"/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74C01-8B9F-4A10-B9F3-7C0A37E8E9DE}">
  <sheetPr>
    <pageSetUpPr fitToPage="1"/>
  </sheetPr>
  <dimension ref="A1:M35"/>
  <sheetViews>
    <sheetView tabSelected="1" topLeftCell="A12" workbookViewId="0">
      <selection activeCell="K16" sqref="K16"/>
    </sheetView>
  </sheetViews>
  <sheetFormatPr defaultRowHeight="14.25" x14ac:dyDescent="0.45"/>
  <cols>
    <col min="1" max="1" width="8.73046875" bestFit="1" customWidth="1"/>
    <col min="2" max="2" width="19.1328125" customWidth="1"/>
    <col min="3" max="3" width="11.86328125" customWidth="1"/>
    <col min="4" max="4" width="7.86328125" customWidth="1"/>
    <col min="5" max="7" width="13.265625" customWidth="1"/>
    <col min="8" max="8" width="10.59765625" style="13" customWidth="1"/>
    <col min="9" max="10" width="12.3984375" customWidth="1"/>
    <col min="11" max="11" width="10.3984375" customWidth="1"/>
    <col min="12" max="12" width="19.1328125" customWidth="1"/>
    <col min="13" max="13" width="9.59765625" customWidth="1"/>
  </cols>
  <sheetData>
    <row r="1" spans="1:13" ht="21.4" x14ac:dyDescent="0.8">
      <c r="A1" s="91" t="s">
        <v>1</v>
      </c>
      <c r="B1" s="91"/>
      <c r="C1" s="91"/>
      <c r="D1" s="91"/>
      <c r="E1" s="91"/>
      <c r="F1" s="91"/>
      <c r="G1" s="91"/>
      <c r="H1" s="91"/>
      <c r="I1" s="91"/>
    </row>
    <row r="2" spans="1:13" ht="17.25" thickBot="1" x14ac:dyDescent="0.7">
      <c r="A2" s="92" t="s">
        <v>2</v>
      </c>
      <c r="B2" s="92"/>
      <c r="C2" s="92"/>
      <c r="D2" s="92"/>
      <c r="E2" s="92"/>
      <c r="F2" s="92"/>
      <c r="G2" s="92"/>
      <c r="H2" s="92"/>
      <c r="I2" s="92"/>
    </row>
    <row r="3" spans="1:13" ht="42.75" x14ac:dyDescent="0.45">
      <c r="A3" s="2" t="s">
        <v>3</v>
      </c>
      <c r="B3" s="3" t="s">
        <v>0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4" t="s">
        <v>9</v>
      </c>
      <c r="I3" s="5" t="s">
        <v>180</v>
      </c>
      <c r="K3" s="66" t="s">
        <v>10</v>
      </c>
      <c r="L3" s="67" t="s">
        <v>0</v>
      </c>
      <c r="M3" s="68" t="s">
        <v>5</v>
      </c>
    </row>
    <row r="4" spans="1:13" ht="14.65" thickBot="1" x14ac:dyDescent="0.5">
      <c r="A4" s="6" t="s">
        <v>11</v>
      </c>
      <c r="B4" s="6" t="s">
        <v>12</v>
      </c>
      <c r="C4" s="7" t="s">
        <v>13</v>
      </c>
      <c r="D4" s="8">
        <f>VLOOKUP(C4,$K$9:$M$11,2)</f>
        <v>30</v>
      </c>
      <c r="E4" s="7" t="s">
        <v>14</v>
      </c>
      <c r="F4" s="7" t="s">
        <v>14</v>
      </c>
      <c r="G4" s="7" t="s">
        <v>15</v>
      </c>
      <c r="H4" s="7" t="s">
        <v>16</v>
      </c>
      <c r="I4" s="7">
        <f>VLOOKUP(C4,$K$9:$M$11,3)</f>
        <v>3</v>
      </c>
      <c r="K4" s="69" t="s">
        <v>17</v>
      </c>
      <c r="L4" s="70" t="str">
        <f>VLOOKUP($K$4,$A$4:$I$35,2,FALSE)</f>
        <v>Lanelle Packham</v>
      </c>
      <c r="M4" s="71">
        <f>VLOOKUP($K$4,$A$4:$I$35,4,FALSE)</f>
        <v>18</v>
      </c>
    </row>
    <row r="5" spans="1:13" x14ac:dyDescent="0.45">
      <c r="A5" s="11" t="s">
        <v>18</v>
      </c>
      <c r="B5" s="11" t="s">
        <v>19</v>
      </c>
      <c r="C5" s="9" t="s">
        <v>20</v>
      </c>
      <c r="D5" s="8">
        <f t="shared" ref="D5:D35" si="0">VLOOKUP(C5,$K$9:$M$11,2)</f>
        <v>18</v>
      </c>
      <c r="E5" s="9" t="s">
        <v>15</v>
      </c>
      <c r="F5" s="9" t="s">
        <v>15</v>
      </c>
      <c r="G5" s="9" t="s">
        <v>21</v>
      </c>
      <c r="H5" s="9" t="s">
        <v>22</v>
      </c>
      <c r="I5" s="7">
        <f t="shared" ref="I5:I35" si="1">VLOOKUP(C5,$K$9:$M$11,3)</f>
        <v>1</v>
      </c>
    </row>
    <row r="6" spans="1:13" x14ac:dyDescent="0.45">
      <c r="A6" s="6" t="s">
        <v>23</v>
      </c>
      <c r="B6" s="12" t="s">
        <v>24</v>
      </c>
      <c r="C6" s="7" t="s">
        <v>25</v>
      </c>
      <c r="D6" s="8">
        <f t="shared" si="0"/>
        <v>25</v>
      </c>
      <c r="E6" s="7" t="s">
        <v>14</v>
      </c>
      <c r="F6" s="7" t="s">
        <v>15</v>
      </c>
      <c r="G6" s="7" t="s">
        <v>15</v>
      </c>
      <c r="H6" s="7" t="s">
        <v>16</v>
      </c>
      <c r="I6" s="7">
        <f t="shared" si="1"/>
        <v>2</v>
      </c>
    </row>
    <row r="7" spans="1:13" ht="14.65" customHeight="1" x14ac:dyDescent="0.45">
      <c r="A7" s="11" t="s">
        <v>26</v>
      </c>
      <c r="B7" s="11" t="s">
        <v>27</v>
      </c>
      <c r="C7" s="9" t="s">
        <v>25</v>
      </c>
      <c r="D7" s="8">
        <f t="shared" si="0"/>
        <v>25</v>
      </c>
      <c r="E7" s="9" t="s">
        <v>15</v>
      </c>
      <c r="F7" s="9" t="s">
        <v>15</v>
      </c>
      <c r="G7" s="9" t="s">
        <v>21</v>
      </c>
      <c r="H7" s="9" t="s">
        <v>16</v>
      </c>
      <c r="I7" s="7">
        <f t="shared" si="1"/>
        <v>2</v>
      </c>
    </row>
    <row r="8" spans="1:13" ht="28.5" x14ac:dyDescent="0.45">
      <c r="A8" s="6" t="s">
        <v>28</v>
      </c>
      <c r="B8" s="12" t="s">
        <v>29</v>
      </c>
      <c r="C8" s="7" t="s">
        <v>20</v>
      </c>
      <c r="D8" s="8">
        <f t="shared" si="0"/>
        <v>18</v>
      </c>
      <c r="E8" s="7" t="s">
        <v>21</v>
      </c>
      <c r="F8" s="7" t="s">
        <v>14</v>
      </c>
      <c r="G8" s="7" t="s">
        <v>15</v>
      </c>
      <c r="H8" s="7" t="s">
        <v>16</v>
      </c>
      <c r="I8" s="7">
        <f t="shared" si="1"/>
        <v>1</v>
      </c>
      <c r="K8" s="72" t="s">
        <v>4</v>
      </c>
      <c r="L8" s="73" t="s">
        <v>5</v>
      </c>
      <c r="M8" s="74" t="s">
        <v>180</v>
      </c>
    </row>
    <row r="9" spans="1:13" x14ac:dyDescent="0.45">
      <c r="A9" s="11" t="s">
        <v>30</v>
      </c>
      <c r="B9" s="11" t="s">
        <v>31</v>
      </c>
      <c r="C9" s="9" t="s">
        <v>25</v>
      </c>
      <c r="D9" s="8">
        <f t="shared" si="0"/>
        <v>25</v>
      </c>
      <c r="E9" s="9" t="s">
        <v>14</v>
      </c>
      <c r="F9" s="9" t="s">
        <v>15</v>
      </c>
      <c r="G9" s="9" t="s">
        <v>15</v>
      </c>
      <c r="H9" s="9" t="s">
        <v>22</v>
      </c>
      <c r="I9" s="7">
        <f t="shared" si="1"/>
        <v>2</v>
      </c>
      <c r="K9" s="9" t="s">
        <v>13</v>
      </c>
      <c r="L9" s="10">
        <v>30</v>
      </c>
      <c r="M9" s="1">
        <v>3</v>
      </c>
    </row>
    <row r="10" spans="1:13" x14ac:dyDescent="0.45">
      <c r="A10" s="6" t="s">
        <v>32</v>
      </c>
      <c r="B10" s="12" t="s">
        <v>33</v>
      </c>
      <c r="C10" s="7" t="s">
        <v>20</v>
      </c>
      <c r="D10" s="8">
        <f t="shared" si="0"/>
        <v>18</v>
      </c>
      <c r="E10" s="7" t="s">
        <v>14</v>
      </c>
      <c r="F10" s="7" t="s">
        <v>15</v>
      </c>
      <c r="G10" s="7" t="s">
        <v>15</v>
      </c>
      <c r="H10" s="7" t="s">
        <v>16</v>
      </c>
      <c r="I10" s="7">
        <f t="shared" si="1"/>
        <v>1</v>
      </c>
      <c r="K10" s="9" t="s">
        <v>25</v>
      </c>
      <c r="L10" s="10">
        <v>25</v>
      </c>
      <c r="M10" s="1">
        <v>2</v>
      </c>
    </row>
    <row r="11" spans="1:13" ht="14.65" customHeight="1" x14ac:dyDescent="0.45">
      <c r="A11" s="11" t="s">
        <v>34</v>
      </c>
      <c r="B11" s="11" t="s">
        <v>35</v>
      </c>
      <c r="C11" s="9" t="s">
        <v>13</v>
      </c>
      <c r="D11" s="8">
        <f t="shared" si="0"/>
        <v>30</v>
      </c>
      <c r="E11" s="9" t="s">
        <v>14</v>
      </c>
      <c r="F11" s="9" t="s">
        <v>15</v>
      </c>
      <c r="G11" s="9" t="s">
        <v>14</v>
      </c>
      <c r="H11" s="9" t="s">
        <v>16</v>
      </c>
      <c r="I11" s="7">
        <f t="shared" si="1"/>
        <v>3</v>
      </c>
      <c r="K11" s="9" t="s">
        <v>20</v>
      </c>
      <c r="L11" s="10">
        <v>18</v>
      </c>
      <c r="M11" s="1">
        <v>1</v>
      </c>
    </row>
    <row r="12" spans="1:13" x14ac:dyDescent="0.45">
      <c r="A12" s="6" t="s">
        <v>36</v>
      </c>
      <c r="B12" s="12" t="s">
        <v>37</v>
      </c>
      <c r="C12" s="7" t="s">
        <v>25</v>
      </c>
      <c r="D12" s="8">
        <f t="shared" si="0"/>
        <v>25</v>
      </c>
      <c r="E12" s="7" t="s">
        <v>14</v>
      </c>
      <c r="F12" s="7" t="s">
        <v>15</v>
      </c>
      <c r="G12" s="7" t="s">
        <v>38</v>
      </c>
      <c r="H12" s="7" t="s">
        <v>16</v>
      </c>
      <c r="I12" s="7">
        <f t="shared" si="1"/>
        <v>2</v>
      </c>
    </row>
    <row r="13" spans="1:13" x14ac:dyDescent="0.45">
      <c r="A13" s="11" t="s">
        <v>39</v>
      </c>
      <c r="B13" s="11" t="s">
        <v>40</v>
      </c>
      <c r="C13" s="9" t="s">
        <v>20</v>
      </c>
      <c r="D13" s="8">
        <f t="shared" si="0"/>
        <v>18</v>
      </c>
      <c r="E13" s="9" t="s">
        <v>15</v>
      </c>
      <c r="F13" s="9" t="s">
        <v>21</v>
      </c>
      <c r="G13" s="9" t="s">
        <v>21</v>
      </c>
      <c r="H13" s="9" t="s">
        <v>22</v>
      </c>
      <c r="I13" s="7">
        <f t="shared" si="1"/>
        <v>1</v>
      </c>
    </row>
    <row r="14" spans="1:13" x14ac:dyDescent="0.45">
      <c r="A14" s="6" t="s">
        <v>41</v>
      </c>
      <c r="B14" s="12" t="s">
        <v>42</v>
      </c>
      <c r="C14" s="7" t="s">
        <v>20</v>
      </c>
      <c r="D14" s="8">
        <f t="shared" si="0"/>
        <v>18</v>
      </c>
      <c r="E14" s="7" t="s">
        <v>15</v>
      </c>
      <c r="F14" s="7" t="s">
        <v>21</v>
      </c>
      <c r="G14" s="7" t="s">
        <v>21</v>
      </c>
      <c r="H14" s="7" t="s">
        <v>22</v>
      </c>
      <c r="I14" s="7">
        <f t="shared" si="1"/>
        <v>1</v>
      </c>
    </row>
    <row r="15" spans="1:13" x14ac:dyDescent="0.45">
      <c r="A15" s="11" t="s">
        <v>43</v>
      </c>
      <c r="B15" s="11" t="s">
        <v>44</v>
      </c>
      <c r="C15" s="9" t="s">
        <v>20</v>
      </c>
      <c r="D15" s="8">
        <f t="shared" si="0"/>
        <v>18</v>
      </c>
      <c r="E15" s="9" t="s">
        <v>15</v>
      </c>
      <c r="F15" s="9" t="s">
        <v>15</v>
      </c>
      <c r="G15" s="9" t="s">
        <v>15</v>
      </c>
      <c r="H15" s="9" t="s">
        <v>16</v>
      </c>
      <c r="I15" s="7">
        <f t="shared" si="1"/>
        <v>1</v>
      </c>
    </row>
    <row r="16" spans="1:13" x14ac:dyDescent="0.45">
      <c r="A16" s="6" t="s">
        <v>45</v>
      </c>
      <c r="B16" s="12" t="s">
        <v>46</v>
      </c>
      <c r="C16" s="7" t="s">
        <v>25</v>
      </c>
      <c r="D16" s="8">
        <f t="shared" si="0"/>
        <v>25</v>
      </c>
      <c r="E16" s="7" t="s">
        <v>14</v>
      </c>
      <c r="F16" s="7" t="s">
        <v>14</v>
      </c>
      <c r="G16" s="7" t="s">
        <v>15</v>
      </c>
      <c r="H16" s="7" t="s">
        <v>22</v>
      </c>
      <c r="I16" s="7">
        <f t="shared" si="1"/>
        <v>2</v>
      </c>
    </row>
    <row r="17" spans="1:9" x14ac:dyDescent="0.45">
      <c r="A17" s="11" t="s">
        <v>47</v>
      </c>
      <c r="B17" s="11" t="s">
        <v>48</v>
      </c>
      <c r="C17" s="9" t="s">
        <v>13</v>
      </c>
      <c r="D17" s="8">
        <f t="shared" si="0"/>
        <v>30</v>
      </c>
      <c r="E17" s="9" t="s">
        <v>14</v>
      </c>
      <c r="F17" s="9" t="s">
        <v>15</v>
      </c>
      <c r="G17" s="9" t="s">
        <v>38</v>
      </c>
      <c r="H17" s="9" t="s">
        <v>16</v>
      </c>
      <c r="I17" s="7">
        <f t="shared" si="1"/>
        <v>3</v>
      </c>
    </row>
    <row r="18" spans="1:9" x14ac:dyDescent="0.45">
      <c r="A18" s="6" t="s">
        <v>49</v>
      </c>
      <c r="B18" s="6" t="s">
        <v>50</v>
      </c>
      <c r="C18" s="7" t="s">
        <v>20</v>
      </c>
      <c r="D18" s="8">
        <f t="shared" si="0"/>
        <v>18</v>
      </c>
      <c r="E18" s="7" t="s">
        <v>21</v>
      </c>
      <c r="F18" s="7" t="s">
        <v>15</v>
      </c>
      <c r="G18" s="7" t="s">
        <v>15</v>
      </c>
      <c r="H18" s="7" t="s">
        <v>22</v>
      </c>
      <c r="I18" s="7">
        <f t="shared" si="1"/>
        <v>1</v>
      </c>
    </row>
    <row r="19" spans="1:9" x14ac:dyDescent="0.45">
      <c r="A19" s="11" t="s">
        <v>51</v>
      </c>
      <c r="B19" s="11" t="s">
        <v>52</v>
      </c>
      <c r="C19" s="9" t="s">
        <v>25</v>
      </c>
      <c r="D19" s="8">
        <f t="shared" si="0"/>
        <v>25</v>
      </c>
      <c r="E19" s="9" t="s">
        <v>21</v>
      </c>
      <c r="F19" s="9" t="s">
        <v>14</v>
      </c>
      <c r="G19" s="9" t="s">
        <v>15</v>
      </c>
      <c r="H19" s="9" t="s">
        <v>16</v>
      </c>
      <c r="I19" s="7">
        <f t="shared" si="1"/>
        <v>2</v>
      </c>
    </row>
    <row r="20" spans="1:9" x14ac:dyDescent="0.45">
      <c r="A20" s="6" t="s">
        <v>53</v>
      </c>
      <c r="B20" s="6" t="s">
        <v>54</v>
      </c>
      <c r="C20" s="7" t="s">
        <v>25</v>
      </c>
      <c r="D20" s="8">
        <f t="shared" si="0"/>
        <v>25</v>
      </c>
      <c r="E20" s="7" t="s">
        <v>14</v>
      </c>
      <c r="F20" s="7" t="s">
        <v>14</v>
      </c>
      <c r="G20" s="7" t="s">
        <v>15</v>
      </c>
      <c r="H20" s="7" t="s">
        <v>22</v>
      </c>
      <c r="I20" s="7">
        <f t="shared" si="1"/>
        <v>2</v>
      </c>
    </row>
    <row r="21" spans="1:9" x14ac:dyDescent="0.45">
      <c r="A21" s="11" t="s">
        <v>55</v>
      </c>
      <c r="B21" s="11" t="s">
        <v>56</v>
      </c>
      <c r="C21" s="9" t="s">
        <v>13</v>
      </c>
      <c r="D21" s="8">
        <f t="shared" si="0"/>
        <v>30</v>
      </c>
      <c r="E21" s="9" t="s">
        <v>14</v>
      </c>
      <c r="F21" s="9" t="s">
        <v>14</v>
      </c>
      <c r="G21" s="9" t="s">
        <v>14</v>
      </c>
      <c r="H21" s="9" t="s">
        <v>16</v>
      </c>
      <c r="I21" s="7">
        <f t="shared" si="1"/>
        <v>3</v>
      </c>
    </row>
    <row r="22" spans="1:9" x14ac:dyDescent="0.45">
      <c r="A22" s="6" t="s">
        <v>57</v>
      </c>
      <c r="B22" s="6" t="s">
        <v>58</v>
      </c>
      <c r="C22" s="7" t="s">
        <v>25</v>
      </c>
      <c r="D22" s="8">
        <f t="shared" si="0"/>
        <v>25</v>
      </c>
      <c r="E22" s="7" t="s">
        <v>14</v>
      </c>
      <c r="F22" s="7" t="s">
        <v>14</v>
      </c>
      <c r="G22" s="7" t="s">
        <v>15</v>
      </c>
      <c r="H22" s="7" t="s">
        <v>22</v>
      </c>
      <c r="I22" s="7">
        <f t="shared" si="1"/>
        <v>2</v>
      </c>
    </row>
    <row r="23" spans="1:9" x14ac:dyDescent="0.45">
      <c r="A23" s="11" t="s">
        <v>59</v>
      </c>
      <c r="B23" s="11" t="s">
        <v>60</v>
      </c>
      <c r="C23" s="9" t="s">
        <v>13</v>
      </c>
      <c r="D23" s="8">
        <f t="shared" si="0"/>
        <v>30</v>
      </c>
      <c r="E23" s="9" t="s">
        <v>14</v>
      </c>
      <c r="F23" s="9" t="s">
        <v>14</v>
      </c>
      <c r="G23" s="9" t="s">
        <v>15</v>
      </c>
      <c r="H23" s="9" t="s">
        <v>16</v>
      </c>
      <c r="I23" s="7">
        <f t="shared" si="1"/>
        <v>3</v>
      </c>
    </row>
    <row r="24" spans="1:9" x14ac:dyDescent="0.45">
      <c r="A24" s="6" t="s">
        <v>61</v>
      </c>
      <c r="B24" s="6" t="s">
        <v>62</v>
      </c>
      <c r="C24" s="7" t="s">
        <v>25</v>
      </c>
      <c r="D24" s="8">
        <f t="shared" si="0"/>
        <v>25</v>
      </c>
      <c r="E24" s="7" t="s">
        <v>15</v>
      </c>
      <c r="F24" s="7" t="s">
        <v>14</v>
      </c>
      <c r="G24" s="7" t="s">
        <v>15</v>
      </c>
      <c r="H24" s="7" t="s">
        <v>16</v>
      </c>
      <c r="I24" s="7">
        <f t="shared" si="1"/>
        <v>2</v>
      </c>
    </row>
    <row r="25" spans="1:9" x14ac:dyDescent="0.45">
      <c r="A25" s="11" t="s">
        <v>63</v>
      </c>
      <c r="B25" s="11" t="s">
        <v>64</v>
      </c>
      <c r="C25" s="9" t="s">
        <v>13</v>
      </c>
      <c r="D25" s="8">
        <f t="shared" si="0"/>
        <v>30</v>
      </c>
      <c r="E25" s="9" t="s">
        <v>14</v>
      </c>
      <c r="F25" s="9" t="s">
        <v>14</v>
      </c>
      <c r="G25" s="9" t="s">
        <v>15</v>
      </c>
      <c r="H25" s="9" t="s">
        <v>16</v>
      </c>
      <c r="I25" s="7">
        <f t="shared" si="1"/>
        <v>3</v>
      </c>
    </row>
    <row r="26" spans="1:9" x14ac:dyDescent="0.45">
      <c r="A26" s="6" t="s">
        <v>65</v>
      </c>
      <c r="B26" s="6" t="s">
        <v>66</v>
      </c>
      <c r="C26" s="7" t="s">
        <v>20</v>
      </c>
      <c r="D26" s="8">
        <f t="shared" si="0"/>
        <v>18</v>
      </c>
      <c r="E26" s="7" t="s">
        <v>15</v>
      </c>
      <c r="F26" s="7" t="s">
        <v>15</v>
      </c>
      <c r="G26" s="7" t="s">
        <v>21</v>
      </c>
      <c r="H26" s="7" t="s">
        <v>22</v>
      </c>
      <c r="I26" s="7">
        <f t="shared" si="1"/>
        <v>1</v>
      </c>
    </row>
    <row r="27" spans="1:9" x14ac:dyDescent="0.45">
      <c r="A27" s="11" t="s">
        <v>67</v>
      </c>
      <c r="B27" s="11" t="s">
        <v>68</v>
      </c>
      <c r="C27" s="9" t="s">
        <v>20</v>
      </c>
      <c r="D27" s="8">
        <f t="shared" si="0"/>
        <v>18</v>
      </c>
      <c r="E27" s="9" t="s">
        <v>15</v>
      </c>
      <c r="F27" s="9" t="s">
        <v>15</v>
      </c>
      <c r="G27" s="9" t="s">
        <v>21</v>
      </c>
      <c r="H27" s="9" t="s">
        <v>22</v>
      </c>
      <c r="I27" s="7">
        <f t="shared" si="1"/>
        <v>1</v>
      </c>
    </row>
    <row r="28" spans="1:9" x14ac:dyDescent="0.45">
      <c r="A28" s="6" t="s">
        <v>69</v>
      </c>
      <c r="B28" s="6" t="s">
        <v>70</v>
      </c>
      <c r="C28" s="7" t="s">
        <v>20</v>
      </c>
      <c r="D28" s="8">
        <f t="shared" si="0"/>
        <v>18</v>
      </c>
      <c r="E28" s="7" t="s">
        <v>14</v>
      </c>
      <c r="F28" s="7" t="s">
        <v>14</v>
      </c>
      <c r="G28" s="7" t="s">
        <v>15</v>
      </c>
      <c r="H28" s="7" t="s">
        <v>22</v>
      </c>
      <c r="I28" s="7">
        <f t="shared" si="1"/>
        <v>1</v>
      </c>
    </row>
    <row r="29" spans="1:9" x14ac:dyDescent="0.45">
      <c r="A29" s="11" t="s">
        <v>17</v>
      </c>
      <c r="B29" s="11" t="s">
        <v>71</v>
      </c>
      <c r="C29" s="9" t="s">
        <v>20</v>
      </c>
      <c r="D29" s="8">
        <f t="shared" si="0"/>
        <v>18</v>
      </c>
      <c r="E29" s="9" t="s">
        <v>15</v>
      </c>
      <c r="F29" s="9" t="s">
        <v>14</v>
      </c>
      <c r="G29" s="9" t="s">
        <v>38</v>
      </c>
      <c r="H29" s="9" t="s">
        <v>22</v>
      </c>
      <c r="I29" s="7">
        <f t="shared" si="1"/>
        <v>1</v>
      </c>
    </row>
    <row r="30" spans="1:9" x14ac:dyDescent="0.45">
      <c r="A30" s="6" t="s">
        <v>72</v>
      </c>
      <c r="B30" s="6" t="s">
        <v>73</v>
      </c>
      <c r="C30" s="7" t="s">
        <v>25</v>
      </c>
      <c r="D30" s="8">
        <f t="shared" si="0"/>
        <v>25</v>
      </c>
      <c r="E30" s="7" t="s">
        <v>14</v>
      </c>
      <c r="F30" s="7" t="s">
        <v>14</v>
      </c>
      <c r="G30" s="7" t="s">
        <v>14</v>
      </c>
      <c r="H30" s="7" t="s">
        <v>16</v>
      </c>
      <c r="I30" s="7">
        <f t="shared" si="1"/>
        <v>2</v>
      </c>
    </row>
    <row r="31" spans="1:9" x14ac:dyDescent="0.45">
      <c r="A31" s="11" t="s">
        <v>74</v>
      </c>
      <c r="B31" s="11" t="s">
        <v>75</v>
      </c>
      <c r="C31" s="9" t="s">
        <v>13</v>
      </c>
      <c r="D31" s="8">
        <f t="shared" si="0"/>
        <v>30</v>
      </c>
      <c r="E31" s="9" t="s">
        <v>15</v>
      </c>
      <c r="F31" s="9" t="s">
        <v>14</v>
      </c>
      <c r="G31" s="9" t="s">
        <v>21</v>
      </c>
      <c r="H31" s="9" t="s">
        <v>16</v>
      </c>
      <c r="I31" s="7">
        <f t="shared" si="1"/>
        <v>3</v>
      </c>
    </row>
    <row r="32" spans="1:9" x14ac:dyDescent="0.45">
      <c r="A32" s="6" t="s">
        <v>76</v>
      </c>
      <c r="B32" s="6" t="s">
        <v>77</v>
      </c>
      <c r="C32" s="7" t="s">
        <v>25</v>
      </c>
      <c r="D32" s="8">
        <f t="shared" si="0"/>
        <v>25</v>
      </c>
      <c r="E32" s="7" t="s">
        <v>14</v>
      </c>
      <c r="F32" s="7" t="s">
        <v>14</v>
      </c>
      <c r="G32" s="7" t="s">
        <v>15</v>
      </c>
      <c r="H32" s="7" t="s">
        <v>16</v>
      </c>
      <c r="I32" s="7">
        <f t="shared" si="1"/>
        <v>2</v>
      </c>
    </row>
    <row r="33" spans="1:9" x14ac:dyDescent="0.45">
      <c r="A33" s="11" t="s">
        <v>78</v>
      </c>
      <c r="B33" s="11" t="s">
        <v>79</v>
      </c>
      <c r="C33" s="9" t="s">
        <v>13</v>
      </c>
      <c r="D33" s="8">
        <f t="shared" si="0"/>
        <v>30</v>
      </c>
      <c r="E33" s="9" t="s">
        <v>14</v>
      </c>
      <c r="F33" s="9" t="s">
        <v>15</v>
      </c>
      <c r="G33" s="9" t="s">
        <v>38</v>
      </c>
      <c r="H33" s="9" t="s">
        <v>22</v>
      </c>
      <c r="I33" s="7">
        <f t="shared" si="1"/>
        <v>3</v>
      </c>
    </row>
    <row r="34" spans="1:9" x14ac:dyDescent="0.45">
      <c r="A34" s="6" t="s">
        <v>80</v>
      </c>
      <c r="B34" s="6" t="s">
        <v>81</v>
      </c>
      <c r="C34" s="7" t="s">
        <v>13</v>
      </c>
      <c r="D34" s="8">
        <f t="shared" si="0"/>
        <v>30</v>
      </c>
      <c r="E34" s="7" t="s">
        <v>15</v>
      </c>
      <c r="F34" s="7" t="s">
        <v>15</v>
      </c>
      <c r="G34" s="7" t="s">
        <v>15</v>
      </c>
      <c r="H34" s="7" t="s">
        <v>22</v>
      </c>
      <c r="I34" s="7">
        <f t="shared" si="1"/>
        <v>3</v>
      </c>
    </row>
    <row r="35" spans="1:9" x14ac:dyDescent="0.45">
      <c r="A35" s="11" t="s">
        <v>82</v>
      </c>
      <c r="B35" s="11" t="s">
        <v>83</v>
      </c>
      <c r="C35" s="9" t="s">
        <v>13</v>
      </c>
      <c r="D35" s="8">
        <f t="shared" si="0"/>
        <v>30</v>
      </c>
      <c r="E35" s="9" t="s">
        <v>14</v>
      </c>
      <c r="F35" s="9" t="s">
        <v>14</v>
      </c>
      <c r="G35" s="9" t="s">
        <v>38</v>
      </c>
      <c r="H35" s="9" t="s">
        <v>16</v>
      </c>
      <c r="I35" s="7">
        <f t="shared" si="1"/>
        <v>3</v>
      </c>
    </row>
  </sheetData>
  <mergeCells count="2">
    <mergeCell ref="A1:I1"/>
    <mergeCell ref="A2:I2"/>
  </mergeCells>
  <conditionalFormatting sqref="A4:I35">
    <cfRule type="expression" priority="1">
      <formula>MOD(ROW(),2)=0</formula>
    </cfRule>
  </conditionalFormatting>
  <pageMargins left="0.7" right="0.7" top="0.75" bottom="0.75" header="0.3" footer="0.3"/>
  <pageSetup scale="8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59D6-4A6B-4157-AA33-100A1020DBEA}">
  <dimension ref="A1:O12"/>
  <sheetViews>
    <sheetView workbookViewId="0">
      <selection activeCell="Q14" sqref="Q14"/>
    </sheetView>
  </sheetViews>
  <sheetFormatPr defaultRowHeight="14.25" x14ac:dyDescent="0.45"/>
  <cols>
    <col min="1" max="1" width="15.3984375" customWidth="1"/>
  </cols>
  <sheetData>
    <row r="1" spans="1:15" ht="87" customHeight="1" thickBot="1" x14ac:dyDescent="0.5">
      <c r="A1" s="93" t="s">
        <v>84</v>
      </c>
      <c r="B1" s="94"/>
      <c r="C1" s="94"/>
      <c r="D1" s="94"/>
      <c r="E1" s="94"/>
      <c r="F1" s="94"/>
      <c r="G1" s="95"/>
    </row>
    <row r="2" spans="1:15" x14ac:dyDescent="0.45">
      <c r="A2" s="14" t="s">
        <v>85</v>
      </c>
      <c r="B2" s="15" t="s">
        <v>86</v>
      </c>
      <c r="C2" s="15" t="s">
        <v>87</v>
      </c>
      <c r="D2" s="15" t="s">
        <v>88</v>
      </c>
      <c r="E2" s="15" t="s">
        <v>89</v>
      </c>
      <c r="F2" s="15" t="s">
        <v>90</v>
      </c>
      <c r="G2" s="16" t="s">
        <v>91</v>
      </c>
      <c r="I2" s="17" t="s">
        <v>92</v>
      </c>
      <c r="J2" s="18">
        <v>0</v>
      </c>
      <c r="K2" s="18">
        <v>50</v>
      </c>
      <c r="L2" s="18">
        <v>60</v>
      </c>
      <c r="M2" s="18">
        <v>70</v>
      </c>
      <c r="N2" s="18">
        <v>80</v>
      </c>
      <c r="O2" s="19">
        <v>90</v>
      </c>
    </row>
    <row r="3" spans="1:15" ht="14.65" thickBot="1" x14ac:dyDescent="0.5">
      <c r="A3" s="20" t="s">
        <v>93</v>
      </c>
      <c r="B3" s="1">
        <v>51</v>
      </c>
      <c r="C3" s="1">
        <v>48</v>
      </c>
      <c r="D3" s="1">
        <v>55</v>
      </c>
      <c r="E3" s="1">
        <v>50</v>
      </c>
      <c r="F3" s="75">
        <f>AVERAGE(B3:E3)</f>
        <v>51</v>
      </c>
      <c r="G3" s="76" t="str">
        <f>HLOOKUP(F3,$J$2:$O$3,2)</f>
        <v>D</v>
      </c>
      <c r="I3" s="21" t="s">
        <v>91</v>
      </c>
      <c r="J3" s="22" t="s">
        <v>94</v>
      </c>
      <c r="K3" s="22" t="s">
        <v>95</v>
      </c>
      <c r="L3" s="22" t="s">
        <v>20</v>
      </c>
      <c r="M3" s="22" t="s">
        <v>25</v>
      </c>
      <c r="N3" s="22" t="s">
        <v>13</v>
      </c>
      <c r="O3" s="23" t="s">
        <v>96</v>
      </c>
    </row>
    <row r="4" spans="1:15" x14ac:dyDescent="0.45">
      <c r="A4" s="20" t="s">
        <v>97</v>
      </c>
      <c r="B4" s="1">
        <v>75</v>
      </c>
      <c r="C4" s="1">
        <v>82</v>
      </c>
      <c r="D4" s="1">
        <v>66</v>
      </c>
      <c r="E4" s="1">
        <v>72</v>
      </c>
      <c r="F4" s="75">
        <f t="shared" ref="F4:F12" si="0">AVERAGE(B4:E4)</f>
        <v>73.75</v>
      </c>
      <c r="G4" s="76" t="str">
        <f t="shared" ref="G4:G12" si="1">HLOOKUP(F4,$J$2:$O$3,2)</f>
        <v>B</v>
      </c>
    </row>
    <row r="5" spans="1:15" x14ac:dyDescent="0.45">
      <c r="A5" s="20" t="s">
        <v>98</v>
      </c>
      <c r="B5" s="1">
        <v>81</v>
      </c>
      <c r="C5" s="1">
        <v>88</v>
      </c>
      <c r="D5" s="1">
        <v>79</v>
      </c>
      <c r="E5" s="1">
        <v>83</v>
      </c>
      <c r="F5" s="75">
        <f t="shared" si="0"/>
        <v>82.75</v>
      </c>
      <c r="G5" s="76" t="str">
        <f t="shared" si="1"/>
        <v>A</v>
      </c>
    </row>
    <row r="6" spans="1:15" x14ac:dyDescent="0.45">
      <c r="A6" s="20" t="s">
        <v>99</v>
      </c>
      <c r="B6" s="1">
        <v>67</v>
      </c>
      <c r="C6" s="1">
        <v>72</v>
      </c>
      <c r="D6" s="1">
        <v>65</v>
      </c>
      <c r="E6" s="1">
        <v>78</v>
      </c>
      <c r="F6" s="75">
        <f t="shared" si="0"/>
        <v>70.5</v>
      </c>
      <c r="G6" s="76" t="str">
        <f t="shared" si="1"/>
        <v>B</v>
      </c>
    </row>
    <row r="7" spans="1:15" x14ac:dyDescent="0.45">
      <c r="A7" s="20" t="s">
        <v>100</v>
      </c>
      <c r="B7" s="1">
        <v>42</v>
      </c>
      <c r="C7" s="1">
        <v>51</v>
      </c>
      <c r="D7" s="1">
        <v>40</v>
      </c>
      <c r="E7" s="1">
        <v>55</v>
      </c>
      <c r="F7" s="75">
        <f t="shared" si="0"/>
        <v>47</v>
      </c>
      <c r="G7" s="76" t="str">
        <f t="shared" si="1"/>
        <v>F</v>
      </c>
    </row>
    <row r="8" spans="1:15" x14ac:dyDescent="0.45">
      <c r="A8" s="20" t="s">
        <v>101</v>
      </c>
      <c r="B8" s="1">
        <v>65</v>
      </c>
      <c r="C8" s="1">
        <v>44</v>
      </c>
      <c r="D8" s="1">
        <v>72</v>
      </c>
      <c r="E8" s="1">
        <v>61</v>
      </c>
      <c r="F8" s="75">
        <f t="shared" si="0"/>
        <v>60.5</v>
      </c>
      <c r="G8" s="76" t="str">
        <f t="shared" si="1"/>
        <v>C</v>
      </c>
    </row>
    <row r="9" spans="1:15" x14ac:dyDescent="0.45">
      <c r="A9" s="20" t="s">
        <v>102</v>
      </c>
      <c r="B9" s="1">
        <v>55</v>
      </c>
      <c r="C9" s="1">
        <v>48</v>
      </c>
      <c r="D9" s="1">
        <v>60</v>
      </c>
      <c r="E9" s="1">
        <v>50</v>
      </c>
      <c r="F9" s="75">
        <f t="shared" si="0"/>
        <v>53.25</v>
      </c>
      <c r="G9" s="76" t="str">
        <f t="shared" si="1"/>
        <v>D</v>
      </c>
    </row>
    <row r="10" spans="1:15" x14ac:dyDescent="0.45">
      <c r="A10" s="20" t="s">
        <v>103</v>
      </c>
      <c r="B10" s="1">
        <v>78</v>
      </c>
      <c r="C10" s="1">
        <v>82</v>
      </c>
      <c r="D10" s="1">
        <v>67</v>
      </c>
      <c r="E10" s="1">
        <v>71</v>
      </c>
      <c r="F10" s="75">
        <f t="shared" si="0"/>
        <v>74.5</v>
      </c>
      <c r="G10" s="76" t="str">
        <f t="shared" si="1"/>
        <v>B</v>
      </c>
    </row>
    <row r="11" spans="1:15" x14ac:dyDescent="0.45">
      <c r="A11" s="20" t="s">
        <v>104</v>
      </c>
      <c r="B11" s="1">
        <v>82</v>
      </c>
      <c r="C11" s="1">
        <v>78</v>
      </c>
      <c r="D11" s="1">
        <v>85</v>
      </c>
      <c r="E11" s="1">
        <v>88</v>
      </c>
      <c r="F11" s="75">
        <f t="shared" si="0"/>
        <v>83.25</v>
      </c>
      <c r="G11" s="76" t="str">
        <f t="shared" si="1"/>
        <v>A</v>
      </c>
    </row>
    <row r="12" spans="1:15" ht="14.65" thickBot="1" x14ac:dyDescent="0.5">
      <c r="A12" s="24" t="s">
        <v>105</v>
      </c>
      <c r="B12" s="25">
        <v>95</v>
      </c>
      <c r="C12" s="25">
        <v>90</v>
      </c>
      <c r="D12" s="25">
        <v>89</v>
      </c>
      <c r="E12" s="25">
        <v>92</v>
      </c>
      <c r="F12" s="75">
        <f t="shared" si="0"/>
        <v>91.5</v>
      </c>
      <c r="G12" s="76" t="str">
        <f t="shared" si="1"/>
        <v>A+</v>
      </c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D2646-8D1B-435B-B555-A75C444E5830}">
  <dimension ref="A1:G35"/>
  <sheetViews>
    <sheetView workbookViewId="0">
      <selection activeCell="F31" sqref="F31"/>
    </sheetView>
  </sheetViews>
  <sheetFormatPr defaultRowHeight="14.25" x14ac:dyDescent="0.45"/>
  <cols>
    <col min="1" max="4" width="13.73046875" customWidth="1"/>
    <col min="5" max="5" width="11.73046875" customWidth="1"/>
    <col min="6" max="6" width="11.86328125" customWidth="1"/>
    <col min="7" max="7" width="59.3984375" customWidth="1"/>
  </cols>
  <sheetData>
    <row r="1" spans="1:7" ht="33.75" thickBot="1" x14ac:dyDescent="0.5">
      <c r="A1" s="98" t="s">
        <v>136</v>
      </c>
      <c r="B1" s="98"/>
      <c r="C1" s="98"/>
      <c r="D1" s="98"/>
    </row>
    <row r="2" spans="1:7" ht="16.149999999999999" thickBot="1" x14ac:dyDescent="0.55000000000000004">
      <c r="A2" s="96" t="s">
        <v>137</v>
      </c>
      <c r="B2" s="96"/>
      <c r="C2" s="96"/>
      <c r="D2" s="96"/>
    </row>
    <row r="3" spans="1:7" ht="14.65" thickBot="1" x14ac:dyDescent="0.5">
      <c r="A3" s="35" t="s">
        <v>138</v>
      </c>
      <c r="B3" s="35" t="s">
        <v>139</v>
      </c>
      <c r="C3" s="36" t="s">
        <v>140</v>
      </c>
      <c r="D3" s="35" t="s">
        <v>124</v>
      </c>
    </row>
    <row r="4" spans="1:7" x14ac:dyDescent="0.45">
      <c r="A4" t="s">
        <v>141</v>
      </c>
      <c r="B4" s="37">
        <v>95500</v>
      </c>
      <c r="C4" s="37">
        <v>103295</v>
      </c>
      <c r="D4" s="38">
        <f>IF(C4&gt;B4,C4*0.15,"0")</f>
        <v>15494.25</v>
      </c>
      <c r="G4" s="13"/>
    </row>
    <row r="5" spans="1:7" x14ac:dyDescent="0.45">
      <c r="A5" t="s">
        <v>142</v>
      </c>
      <c r="B5" s="27">
        <v>137000</v>
      </c>
      <c r="C5" s="27">
        <v>129890</v>
      </c>
      <c r="D5" s="38" t="str">
        <f t="shared" ref="D5:D9" si="0">IF(C5&gt;B5,C5*0.15,"0")</f>
        <v>0</v>
      </c>
      <c r="G5" s="13"/>
    </row>
    <row r="6" spans="1:7" x14ac:dyDescent="0.45">
      <c r="A6" t="s">
        <v>143</v>
      </c>
      <c r="B6" s="27">
        <v>124000</v>
      </c>
      <c r="C6" s="27">
        <v>133255</v>
      </c>
      <c r="D6" s="38">
        <f t="shared" si="0"/>
        <v>19988.25</v>
      </c>
    </row>
    <row r="7" spans="1:7" x14ac:dyDescent="0.45">
      <c r="A7" t="s">
        <v>144</v>
      </c>
      <c r="B7" s="27">
        <v>85500</v>
      </c>
      <c r="C7" s="27">
        <v>94350</v>
      </c>
      <c r="D7" s="38">
        <f t="shared" si="0"/>
        <v>14152.5</v>
      </c>
    </row>
    <row r="8" spans="1:7" x14ac:dyDescent="0.45">
      <c r="A8" t="s">
        <v>145</v>
      </c>
      <c r="B8" s="27">
        <v>159000</v>
      </c>
      <c r="C8" s="27">
        <v>167410</v>
      </c>
      <c r="D8" s="38">
        <f t="shared" si="0"/>
        <v>25111.5</v>
      </c>
    </row>
    <row r="9" spans="1:7" x14ac:dyDescent="0.45">
      <c r="A9" t="s">
        <v>146</v>
      </c>
      <c r="B9" s="27">
        <v>110500</v>
      </c>
      <c r="C9" s="27">
        <v>109980</v>
      </c>
      <c r="D9" s="38" t="str">
        <f t="shared" si="0"/>
        <v>0</v>
      </c>
    </row>
    <row r="10" spans="1:7" x14ac:dyDescent="0.45">
      <c r="B10" s="27"/>
      <c r="C10" s="27"/>
      <c r="D10" s="38"/>
    </row>
    <row r="11" spans="1:7" ht="14.65" thickBot="1" x14ac:dyDescent="0.5">
      <c r="B11" s="27"/>
      <c r="C11" s="27"/>
      <c r="D11" s="38"/>
    </row>
    <row r="12" spans="1:7" ht="16.149999999999999" thickBot="1" x14ac:dyDescent="0.55000000000000004">
      <c r="A12" s="96" t="s">
        <v>137</v>
      </c>
      <c r="B12" s="96"/>
      <c r="C12" s="96"/>
    </row>
    <row r="13" spans="1:7" ht="14.65" thickBot="1" x14ac:dyDescent="0.5">
      <c r="A13" s="35" t="s">
        <v>147</v>
      </c>
      <c r="B13" s="35" t="s">
        <v>148</v>
      </c>
      <c r="C13" s="39" t="s">
        <v>181</v>
      </c>
    </row>
    <row r="14" spans="1:7" x14ac:dyDescent="0.45">
      <c r="A14" t="s">
        <v>149</v>
      </c>
      <c r="B14" s="26">
        <v>1250</v>
      </c>
      <c r="C14" s="40">
        <f>IF(B14&gt;599,B14-B14*0.05,B14)</f>
        <v>1187.5</v>
      </c>
      <c r="G14" s="13"/>
    </row>
    <row r="15" spans="1:7" x14ac:dyDescent="0.45">
      <c r="A15" t="s">
        <v>150</v>
      </c>
      <c r="B15" s="42">
        <v>695</v>
      </c>
      <c r="C15" s="40">
        <f t="shared" ref="C15:C26" si="1">IF(B15&gt;599,B15-B15*0.05,B15)</f>
        <v>660.25</v>
      </c>
      <c r="D15" s="41"/>
    </row>
    <row r="16" spans="1:7" x14ac:dyDescent="0.45">
      <c r="A16" t="s">
        <v>151</v>
      </c>
      <c r="B16" s="42">
        <v>475</v>
      </c>
      <c r="C16" s="40">
        <f t="shared" si="1"/>
        <v>475</v>
      </c>
      <c r="D16" s="41"/>
    </row>
    <row r="17" spans="1:7" x14ac:dyDescent="0.45">
      <c r="A17" t="s">
        <v>152</v>
      </c>
      <c r="B17" s="42">
        <v>225</v>
      </c>
      <c r="C17" s="40">
        <f t="shared" si="1"/>
        <v>225</v>
      </c>
      <c r="D17" s="41"/>
    </row>
    <row r="18" spans="1:7" x14ac:dyDescent="0.45">
      <c r="A18" t="s">
        <v>153</v>
      </c>
      <c r="B18" s="42">
        <v>520</v>
      </c>
      <c r="C18" s="40">
        <f t="shared" si="1"/>
        <v>520</v>
      </c>
      <c r="D18" s="41"/>
    </row>
    <row r="19" spans="1:7" x14ac:dyDescent="0.45">
      <c r="A19" t="s">
        <v>154</v>
      </c>
      <c r="B19" s="42">
        <v>2150</v>
      </c>
      <c r="C19" s="40">
        <f t="shared" si="1"/>
        <v>2042.5</v>
      </c>
      <c r="D19" s="41"/>
    </row>
    <row r="20" spans="1:7" x14ac:dyDescent="0.45">
      <c r="A20" t="s">
        <v>155</v>
      </c>
      <c r="B20" s="42">
        <v>2450</v>
      </c>
      <c r="C20" s="40">
        <f t="shared" si="1"/>
        <v>2327.5</v>
      </c>
      <c r="D20" s="41"/>
    </row>
    <row r="21" spans="1:7" x14ac:dyDescent="0.45">
      <c r="A21" t="s">
        <v>156</v>
      </c>
      <c r="B21" s="42">
        <v>755</v>
      </c>
      <c r="C21" s="40">
        <f t="shared" si="1"/>
        <v>717.25</v>
      </c>
      <c r="D21" s="41"/>
    </row>
    <row r="22" spans="1:7" x14ac:dyDescent="0.45">
      <c r="A22" t="s">
        <v>157</v>
      </c>
      <c r="B22" s="42">
        <v>455</v>
      </c>
      <c r="C22" s="40">
        <f t="shared" si="1"/>
        <v>455</v>
      </c>
      <c r="D22" s="41"/>
    </row>
    <row r="23" spans="1:7" x14ac:dyDescent="0.45">
      <c r="A23" t="s">
        <v>158</v>
      </c>
      <c r="B23" s="42">
        <v>1050</v>
      </c>
      <c r="C23" s="40">
        <f t="shared" si="1"/>
        <v>997.5</v>
      </c>
      <c r="D23" s="41"/>
    </row>
    <row r="24" spans="1:7" x14ac:dyDescent="0.45">
      <c r="A24" t="s">
        <v>159</v>
      </c>
      <c r="B24" s="42">
        <v>890</v>
      </c>
      <c r="C24" s="40">
        <f t="shared" si="1"/>
        <v>845.5</v>
      </c>
      <c r="D24" s="41"/>
    </row>
    <row r="25" spans="1:7" x14ac:dyDescent="0.45">
      <c r="A25" t="s">
        <v>160</v>
      </c>
      <c r="B25" s="42">
        <v>645</v>
      </c>
      <c r="C25" s="40">
        <f t="shared" si="1"/>
        <v>612.75</v>
      </c>
      <c r="D25" s="41"/>
    </row>
    <row r="26" spans="1:7" x14ac:dyDescent="0.45">
      <c r="A26" t="s">
        <v>161</v>
      </c>
      <c r="B26" s="42">
        <v>475</v>
      </c>
      <c r="C26" s="40">
        <f t="shared" si="1"/>
        <v>475</v>
      </c>
      <c r="D26" s="41"/>
    </row>
    <row r="27" spans="1:7" x14ac:dyDescent="0.45">
      <c r="B27" s="26"/>
      <c r="C27" s="13"/>
      <c r="D27" s="41"/>
    </row>
    <row r="28" spans="1:7" ht="14.65" thickBot="1" x14ac:dyDescent="0.5"/>
    <row r="29" spans="1:7" ht="16.149999999999999" thickBot="1" x14ac:dyDescent="0.5">
      <c r="A29" s="97" t="s">
        <v>162</v>
      </c>
      <c r="B29" s="97"/>
      <c r="C29" s="97"/>
      <c r="D29" s="97"/>
      <c r="E29" s="97"/>
      <c r="F29" s="97"/>
    </row>
    <row r="30" spans="1:7" ht="14.65" thickBot="1" x14ac:dyDescent="0.5">
      <c r="A30" s="35" t="s">
        <v>0</v>
      </c>
      <c r="B30" s="35" t="s">
        <v>163</v>
      </c>
      <c r="C30" s="35" t="s">
        <v>164</v>
      </c>
      <c r="D30" s="35" t="s">
        <v>165</v>
      </c>
      <c r="E30" s="35" t="s">
        <v>90</v>
      </c>
      <c r="F30" s="35" t="s">
        <v>182</v>
      </c>
    </row>
    <row r="31" spans="1:7" x14ac:dyDescent="0.45">
      <c r="A31" t="s">
        <v>166</v>
      </c>
      <c r="B31" s="13">
        <v>78</v>
      </c>
      <c r="C31" s="13">
        <v>69</v>
      </c>
      <c r="D31" s="13">
        <v>88</v>
      </c>
      <c r="E31" s="43">
        <f>AVERAGE(B31:D31)</f>
        <v>78.333333333333329</v>
      </c>
      <c r="F31" s="13" t="str">
        <f>IF(E31&gt;80,"Promote","")</f>
        <v/>
      </c>
      <c r="G31" s="13"/>
    </row>
    <row r="32" spans="1:7" x14ac:dyDescent="0.45">
      <c r="A32" t="s">
        <v>167</v>
      </c>
      <c r="B32" s="13">
        <v>90</v>
      </c>
      <c r="C32" s="13">
        <v>95</v>
      </c>
      <c r="D32" s="13">
        <v>86</v>
      </c>
      <c r="E32" s="43">
        <f t="shared" ref="E32:E35" si="2">AVERAGE(B32:D32)</f>
        <v>90.333333333333329</v>
      </c>
      <c r="F32" s="13" t="str">
        <f t="shared" ref="F32:F35" si="3">IF(E32&gt;80,"Promote","")</f>
        <v>Promote</v>
      </c>
    </row>
    <row r="33" spans="1:6" x14ac:dyDescent="0.45">
      <c r="A33" t="s">
        <v>168</v>
      </c>
      <c r="B33" s="13">
        <v>82</v>
      </c>
      <c r="C33" s="13">
        <v>88</v>
      </c>
      <c r="D33" s="13">
        <v>94</v>
      </c>
      <c r="E33" s="43">
        <f t="shared" si="2"/>
        <v>88</v>
      </c>
      <c r="F33" s="13" t="str">
        <f t="shared" si="3"/>
        <v>Promote</v>
      </c>
    </row>
    <row r="34" spans="1:6" x14ac:dyDescent="0.45">
      <c r="A34" t="s">
        <v>169</v>
      </c>
      <c r="B34" s="13">
        <v>100</v>
      </c>
      <c r="C34" s="13">
        <v>98</v>
      </c>
      <c r="D34" s="13">
        <v>96</v>
      </c>
      <c r="E34" s="43">
        <f t="shared" si="2"/>
        <v>98</v>
      </c>
      <c r="F34" s="13" t="str">
        <f t="shared" si="3"/>
        <v>Promote</v>
      </c>
    </row>
    <row r="35" spans="1:6" x14ac:dyDescent="0.45">
      <c r="A35" t="s">
        <v>170</v>
      </c>
      <c r="B35" s="13">
        <v>64</v>
      </c>
      <c r="C35" s="13">
        <v>76</v>
      </c>
      <c r="D35" s="13">
        <v>62</v>
      </c>
      <c r="E35" s="43">
        <f t="shared" si="2"/>
        <v>67.333333333333329</v>
      </c>
      <c r="F35" s="13" t="str">
        <f t="shared" si="3"/>
        <v/>
      </c>
    </row>
  </sheetData>
  <mergeCells count="4">
    <mergeCell ref="A2:D2"/>
    <mergeCell ref="A29:F29"/>
    <mergeCell ref="A1:D1"/>
    <mergeCell ref="A12:C12"/>
  </mergeCells>
  <conditionalFormatting sqref="B31:B35">
    <cfRule type="top10" dxfId="1" priority="1" bottom="1" rank="2"/>
    <cfRule type="top10" dxfId="0" priority="2" rank="2"/>
  </conditionalFormatting>
  <conditionalFormatting sqref="E31:E3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{1FCD8EDC-6285-4F8D-9024-A0E06D04A06E}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CD8EDC-6285-4F8D-9024-A0E06D04A0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E31:E35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FE33-368E-4A0C-B429-220C1446D83D}">
  <dimension ref="A1:G16"/>
  <sheetViews>
    <sheetView workbookViewId="0">
      <selection activeCell="I28" sqref="I28"/>
    </sheetView>
  </sheetViews>
  <sheetFormatPr defaultRowHeight="14.25" x14ac:dyDescent="0.45"/>
  <cols>
    <col min="1" max="1" width="16.265625" customWidth="1"/>
    <col min="2" max="2" width="11" customWidth="1"/>
    <col min="3" max="3" width="17.265625" bestFit="1" customWidth="1"/>
    <col min="4" max="6" width="11" customWidth="1"/>
    <col min="7" max="7" width="12.265625" customWidth="1"/>
  </cols>
  <sheetData>
    <row r="1" spans="1:7" ht="30" customHeight="1" thickBot="1" x14ac:dyDescent="0.5">
      <c r="A1" s="99" t="s">
        <v>183</v>
      </c>
      <c r="B1" s="99"/>
      <c r="C1" s="99"/>
      <c r="D1" s="99"/>
      <c r="E1" s="99"/>
      <c r="F1" s="99"/>
      <c r="G1" s="99"/>
    </row>
    <row r="2" spans="1:7" ht="31.9" thickTop="1" x14ac:dyDescent="0.45">
      <c r="A2" s="61" t="s">
        <v>106</v>
      </c>
      <c r="B2" s="62" t="s">
        <v>107</v>
      </c>
      <c r="C2" s="62" t="s">
        <v>108</v>
      </c>
      <c r="D2" s="63" t="s">
        <v>109</v>
      </c>
      <c r="E2" s="63" t="s">
        <v>110</v>
      </c>
      <c r="F2" s="62" t="s">
        <v>111</v>
      </c>
      <c r="G2" s="62" t="s">
        <v>184</v>
      </c>
    </row>
    <row r="3" spans="1:7" x14ac:dyDescent="0.45">
      <c r="A3" s="48">
        <v>7456</v>
      </c>
      <c r="B3" s="49" t="s">
        <v>112</v>
      </c>
      <c r="C3" s="50" t="s">
        <v>113</v>
      </c>
      <c r="D3" s="51">
        <v>450</v>
      </c>
      <c r="E3" s="52">
        <f>D3*0.13</f>
        <v>58.5</v>
      </c>
      <c r="F3" s="53">
        <f>D3+E3</f>
        <v>508.5</v>
      </c>
      <c r="G3" s="80">
        <f>SUM($F$3:F3)</f>
        <v>508.5</v>
      </c>
    </row>
    <row r="4" spans="1:7" x14ac:dyDescent="0.45">
      <c r="A4" s="54">
        <v>7458</v>
      </c>
      <c r="B4" s="55" t="s">
        <v>114</v>
      </c>
      <c r="C4" s="56" t="s">
        <v>115</v>
      </c>
      <c r="D4" s="57">
        <v>1075</v>
      </c>
      <c r="E4" s="58">
        <f t="shared" ref="E4:E15" si="0">D4*0.13</f>
        <v>139.75</v>
      </c>
      <c r="F4" s="57">
        <f t="shared" ref="F4:F15" si="1">D4+E4</f>
        <v>1214.75</v>
      </c>
      <c r="G4" s="81">
        <f>SUM($F$3:F4)</f>
        <v>1723.25</v>
      </c>
    </row>
    <row r="5" spans="1:7" x14ac:dyDescent="0.45">
      <c r="A5" s="48">
        <v>7460</v>
      </c>
      <c r="B5" s="49" t="s">
        <v>116</v>
      </c>
      <c r="C5" s="50" t="s">
        <v>117</v>
      </c>
      <c r="D5" s="59">
        <v>225</v>
      </c>
      <c r="E5" s="60">
        <f t="shared" si="0"/>
        <v>29.25</v>
      </c>
      <c r="F5" s="59">
        <f t="shared" si="1"/>
        <v>254.25</v>
      </c>
      <c r="G5" s="82">
        <f>SUM($F$3:F5)</f>
        <v>1977.5</v>
      </c>
    </row>
    <row r="6" spans="1:7" x14ac:dyDescent="0.45">
      <c r="A6" s="54">
        <v>7462</v>
      </c>
      <c r="B6" s="55" t="s">
        <v>118</v>
      </c>
      <c r="C6" s="56" t="s">
        <v>119</v>
      </c>
      <c r="D6" s="57">
        <v>750</v>
      </c>
      <c r="E6" s="58">
        <f t="shared" si="0"/>
        <v>97.5</v>
      </c>
      <c r="F6" s="57">
        <f t="shared" si="1"/>
        <v>847.5</v>
      </c>
      <c r="G6" s="81">
        <f>SUM($F$3:F6)</f>
        <v>2825</v>
      </c>
    </row>
    <row r="7" spans="1:7" x14ac:dyDescent="0.45">
      <c r="A7" s="48">
        <v>7464</v>
      </c>
      <c r="B7" s="49" t="s">
        <v>112</v>
      </c>
      <c r="C7" s="50" t="s">
        <v>120</v>
      </c>
      <c r="D7" s="59">
        <v>850</v>
      </c>
      <c r="E7" s="60">
        <f t="shared" si="0"/>
        <v>110.5</v>
      </c>
      <c r="F7" s="59">
        <f t="shared" si="1"/>
        <v>960.5</v>
      </c>
      <c r="G7" s="82">
        <f>SUM($F$3:F7)</f>
        <v>3785.5</v>
      </c>
    </row>
    <row r="8" spans="1:7" x14ac:dyDescent="0.45">
      <c r="A8" s="54">
        <v>7466</v>
      </c>
      <c r="B8" s="55" t="s">
        <v>116</v>
      </c>
      <c r="C8" s="56" t="s">
        <v>117</v>
      </c>
      <c r="D8" s="57">
        <v>350</v>
      </c>
      <c r="E8" s="58">
        <f t="shared" si="0"/>
        <v>45.5</v>
      </c>
      <c r="F8" s="57">
        <f t="shared" si="1"/>
        <v>395.5</v>
      </c>
      <c r="G8" s="81">
        <f>SUM($F$3:F8)</f>
        <v>4181</v>
      </c>
    </row>
    <row r="9" spans="1:7" x14ac:dyDescent="0.45">
      <c r="A9" s="48">
        <v>7468</v>
      </c>
      <c r="B9" s="49" t="s">
        <v>121</v>
      </c>
      <c r="C9" s="50" t="s">
        <v>115</v>
      </c>
      <c r="D9" s="59">
        <v>875</v>
      </c>
      <c r="E9" s="60">
        <f t="shared" si="0"/>
        <v>113.75</v>
      </c>
      <c r="F9" s="59">
        <f t="shared" si="1"/>
        <v>988.75</v>
      </c>
      <c r="G9" s="82">
        <f>SUM($F$3:F9)</f>
        <v>5169.75</v>
      </c>
    </row>
    <row r="10" spans="1:7" x14ac:dyDescent="0.45">
      <c r="A10" s="54">
        <v>7470</v>
      </c>
      <c r="B10" s="55" t="s">
        <v>118</v>
      </c>
      <c r="C10" s="56" t="s">
        <v>119</v>
      </c>
      <c r="D10" s="57">
        <v>750</v>
      </c>
      <c r="E10" s="58">
        <f t="shared" si="0"/>
        <v>97.5</v>
      </c>
      <c r="F10" s="57">
        <f t="shared" si="1"/>
        <v>847.5</v>
      </c>
      <c r="G10" s="81">
        <f>SUM($F$3:F10)</f>
        <v>6017.25</v>
      </c>
    </row>
    <row r="11" spans="1:7" x14ac:dyDescent="0.45">
      <c r="A11" s="48">
        <v>7472</v>
      </c>
      <c r="B11" s="49" t="s">
        <v>122</v>
      </c>
      <c r="C11" s="50" t="s">
        <v>113</v>
      </c>
      <c r="D11" s="59">
        <v>560</v>
      </c>
      <c r="E11" s="60">
        <f t="shared" si="0"/>
        <v>72.8</v>
      </c>
      <c r="F11" s="59">
        <f t="shared" si="1"/>
        <v>632.79999999999995</v>
      </c>
      <c r="G11" s="82">
        <f>SUM($F$3:F11)</f>
        <v>6650.05</v>
      </c>
    </row>
    <row r="12" spans="1:7" x14ac:dyDescent="0.45">
      <c r="A12" s="54">
        <v>7474</v>
      </c>
      <c r="B12" s="55" t="s">
        <v>116</v>
      </c>
      <c r="C12" s="56" t="s">
        <v>117</v>
      </c>
      <c r="D12" s="57">
        <v>400</v>
      </c>
      <c r="E12" s="58">
        <f t="shared" si="0"/>
        <v>52</v>
      </c>
      <c r="F12" s="57">
        <f t="shared" si="1"/>
        <v>452</v>
      </c>
      <c r="G12" s="81">
        <f>SUM($F$3:F12)</f>
        <v>7102.05</v>
      </c>
    </row>
    <row r="13" spans="1:7" x14ac:dyDescent="0.45">
      <c r="A13" s="48">
        <v>7476</v>
      </c>
      <c r="B13" s="49" t="s">
        <v>118</v>
      </c>
      <c r="C13" s="50" t="s">
        <v>119</v>
      </c>
      <c r="D13" s="59">
        <v>600</v>
      </c>
      <c r="E13" s="60">
        <f t="shared" si="0"/>
        <v>78</v>
      </c>
      <c r="F13" s="59">
        <f t="shared" si="1"/>
        <v>678</v>
      </c>
      <c r="G13" s="82">
        <f>SUM($F$3:F13)</f>
        <v>7780.05</v>
      </c>
    </row>
    <row r="14" spans="1:7" x14ac:dyDescent="0.45">
      <c r="A14" s="54">
        <v>7478</v>
      </c>
      <c r="B14" s="55" t="s">
        <v>123</v>
      </c>
      <c r="C14" s="56" t="s">
        <v>120</v>
      </c>
      <c r="D14" s="57">
        <v>725</v>
      </c>
      <c r="E14" s="58">
        <f t="shared" si="0"/>
        <v>94.25</v>
      </c>
      <c r="F14" s="78">
        <f t="shared" si="1"/>
        <v>819.25</v>
      </c>
      <c r="G14" s="83">
        <f>SUM($F$3:F14)</f>
        <v>8599.2999999999993</v>
      </c>
    </row>
    <row r="15" spans="1:7" x14ac:dyDescent="0.45">
      <c r="A15" s="48">
        <v>7480</v>
      </c>
      <c r="B15" s="49" t="s">
        <v>116</v>
      </c>
      <c r="C15" s="50" t="s">
        <v>117</v>
      </c>
      <c r="D15" s="59">
        <v>310</v>
      </c>
      <c r="E15" s="60">
        <f t="shared" si="0"/>
        <v>40.300000000000004</v>
      </c>
      <c r="F15" s="79">
        <f t="shared" si="1"/>
        <v>350.3</v>
      </c>
      <c r="G15" s="84">
        <f>SUM($F$3:F15)</f>
        <v>8949.5999999999985</v>
      </c>
    </row>
    <row r="16" spans="1:7" x14ac:dyDescent="0.45">
      <c r="D16" s="85">
        <f>SUM(D3:D15)</f>
        <v>7920</v>
      </c>
      <c r="E16" s="77">
        <f t="shared" ref="E16:F16" si="2">SUM(E3:E15)</f>
        <v>1029.5999999999999</v>
      </c>
      <c r="F16" s="77">
        <f t="shared" si="2"/>
        <v>8949.5999999999985</v>
      </c>
      <c r="G16" s="77"/>
    </row>
  </sheetData>
  <mergeCells count="1">
    <mergeCell ref="A1:G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3FB4-C19D-47BE-A2EE-FFB69292A11C}">
  <dimension ref="A1:D12"/>
  <sheetViews>
    <sheetView topLeftCell="A3" workbookViewId="0">
      <selection activeCell="D7" sqref="D7"/>
    </sheetView>
  </sheetViews>
  <sheetFormatPr defaultRowHeight="14.25" x14ac:dyDescent="0.45"/>
  <cols>
    <col min="1" max="1" width="36.3984375" customWidth="1"/>
    <col min="2" max="2" width="9.86328125" customWidth="1"/>
    <col min="3" max="3" width="10.265625" customWidth="1"/>
    <col min="4" max="4" width="12.86328125" customWidth="1"/>
  </cols>
  <sheetData>
    <row r="1" spans="1:4" ht="17.649999999999999" x14ac:dyDescent="0.5">
      <c r="A1" s="86" t="s">
        <v>171</v>
      </c>
      <c r="B1" s="87"/>
      <c r="C1" s="87"/>
      <c r="D1" s="87"/>
    </row>
    <row r="2" spans="1:4" ht="17.649999999999999" x14ac:dyDescent="0.5">
      <c r="A2" s="86" t="s">
        <v>172</v>
      </c>
      <c r="B2" s="87"/>
      <c r="C2" s="87"/>
      <c r="D2" s="87"/>
    </row>
    <row r="3" spans="1:4" ht="17.25" x14ac:dyDescent="0.45">
      <c r="A3" s="88" t="s">
        <v>173</v>
      </c>
      <c r="B3" s="89"/>
      <c r="C3" s="89"/>
      <c r="D3" s="89"/>
    </row>
    <row r="4" spans="1:4" ht="34.5" x14ac:dyDescent="0.45">
      <c r="A4" s="64"/>
      <c r="B4" s="65" t="s">
        <v>186</v>
      </c>
      <c r="C4" s="65" t="s">
        <v>187</v>
      </c>
      <c r="D4" s="65" t="s">
        <v>188</v>
      </c>
    </row>
    <row r="5" spans="1:4" ht="18" x14ac:dyDescent="0.55000000000000004">
      <c r="A5" s="44" t="s">
        <v>174</v>
      </c>
      <c r="B5" s="45">
        <v>100</v>
      </c>
      <c r="C5" s="44"/>
      <c r="D5" s="45"/>
    </row>
    <row r="6" spans="1:4" ht="18" x14ac:dyDescent="0.55000000000000004">
      <c r="A6" s="46" t="s">
        <v>175</v>
      </c>
      <c r="B6" s="47">
        <v>64.5</v>
      </c>
      <c r="C6" s="46">
        <v>15</v>
      </c>
      <c r="D6" s="47">
        <f>B6/$B$5*C6</f>
        <v>9.6750000000000007</v>
      </c>
    </row>
    <row r="7" spans="1:4" ht="18" x14ac:dyDescent="0.55000000000000004">
      <c r="A7" s="46" t="s">
        <v>176</v>
      </c>
      <c r="B7" s="47">
        <v>72</v>
      </c>
      <c r="C7" s="46">
        <v>15</v>
      </c>
      <c r="D7" s="47">
        <f t="shared" ref="D7:D10" si="0">B7/$B$5*C7</f>
        <v>10.799999999999999</v>
      </c>
    </row>
    <row r="8" spans="1:4" ht="18" x14ac:dyDescent="0.55000000000000004">
      <c r="A8" s="46" t="s">
        <v>177</v>
      </c>
      <c r="B8" s="47">
        <v>83.5</v>
      </c>
      <c r="C8" s="46">
        <v>15</v>
      </c>
      <c r="D8" s="47">
        <f t="shared" si="0"/>
        <v>12.524999999999999</v>
      </c>
    </row>
    <row r="9" spans="1:4" ht="18" x14ac:dyDescent="0.55000000000000004">
      <c r="A9" s="46" t="s">
        <v>178</v>
      </c>
      <c r="B9" s="47">
        <v>78.5</v>
      </c>
      <c r="C9" s="46">
        <v>25</v>
      </c>
      <c r="D9" s="47">
        <f t="shared" si="0"/>
        <v>19.625</v>
      </c>
    </row>
    <row r="10" spans="1:4" ht="18" x14ac:dyDescent="0.55000000000000004">
      <c r="A10" s="46" t="s">
        <v>179</v>
      </c>
      <c r="B10" s="47">
        <v>74.583333333333343</v>
      </c>
      <c r="C10" s="46">
        <v>30</v>
      </c>
      <c r="D10" s="47">
        <f t="shared" si="0"/>
        <v>22.375000000000004</v>
      </c>
    </row>
    <row r="11" spans="1:4" ht="18" x14ac:dyDescent="0.55000000000000004">
      <c r="A11" s="46"/>
      <c r="B11" s="47"/>
      <c r="C11" s="46"/>
      <c r="D11" s="47"/>
    </row>
    <row r="12" spans="1:4" ht="18" x14ac:dyDescent="0.55000000000000004">
      <c r="A12" s="46" t="s">
        <v>185</v>
      </c>
      <c r="B12" s="47"/>
      <c r="C12" s="46">
        <f>SUM(C6:C10)</f>
        <v>100</v>
      </c>
      <c r="D12" s="46">
        <f>SUM(D6:D10)</f>
        <v>75</v>
      </c>
    </row>
  </sheetData>
  <mergeCells count="3">
    <mergeCell ref="A1:D1"/>
    <mergeCell ref="A2:D2"/>
    <mergeCell ref="A3:D3"/>
  </mergeCells>
  <printOptions horizontalCentered="1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NESTING</vt:lpstr>
      <vt:lpstr>Emp Qualifications</vt:lpstr>
      <vt:lpstr>HLOOKUP</vt:lpstr>
      <vt:lpstr>IF-CMPReports</vt:lpstr>
      <vt:lpstr>QuickAnalysis</vt:lpstr>
      <vt:lpstr>Goal Seek-StudentProgressReport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Ellul</dc:creator>
  <cp:lastModifiedBy>Basak Erdem</cp:lastModifiedBy>
  <dcterms:created xsi:type="dcterms:W3CDTF">2023-04-06T00:41:50Z</dcterms:created>
  <dcterms:modified xsi:type="dcterms:W3CDTF">2026-04-11T13:41:02Z</dcterms:modified>
</cp:coreProperties>
</file>